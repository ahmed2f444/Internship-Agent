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25dc7c8a3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8afca21974b4929"/>
    <x:sheet xmlns:r="http://schemas.openxmlformats.org/officeDocument/2006/relationships" name="Summary" sheetId="2" r:id="R9cbf9466c425487b"/>
    <x:sheet xmlns:r="http://schemas.openxmlformats.org/officeDocument/2006/relationships" name="Departments" sheetId="3" r:id="R5e35b196186a414c"/>
    <x:sheet xmlns:r="http://schemas.openxmlformats.org/officeDocument/2006/relationships" name="Zones" sheetId="4" r:id="Re9c1dd40a36b4c85"/>
    <x:sheet xmlns:r="http://schemas.openxmlformats.org/officeDocument/2006/relationships" name="Employees" sheetId="5" r:id="R4f79a14a1066415f"/>
    <x:sheet xmlns:r="http://schemas.openxmlformats.org/officeDocument/2006/relationships" name="Roles" sheetId="6" r:id="R8943b65991234575"/>
    <x:sheet xmlns:r="http://schemas.openxmlformats.org/officeDocument/2006/relationships" name="Users" sheetId="7" r:id="Rc99fb9d9b1ac4329"/>
    <x:sheet xmlns:r="http://schemas.openxmlformats.org/officeDocument/2006/relationships" name="User_Roles" sheetId="8" r:id="R47bab76e27c548fa"/>
    <x:sheet xmlns:r="http://schemas.openxmlformats.org/officeDocument/2006/relationships" name="RBAC_Matrix" sheetId="9" r:id="Rda25bd111c32435b"/>
    <x:sheet xmlns:r="http://schemas.openxmlformats.org/officeDocument/2006/relationships" name="Service_Catalog" sheetId="10" r:id="R985f067df13042ed"/>
    <x:sheet xmlns:r="http://schemas.openxmlformats.org/officeDocument/2006/relationships" name="Environments" sheetId="11" r:id="R6e97d945d9b2462e"/>
    <x:sheet xmlns:r="http://schemas.openxmlformats.org/officeDocument/2006/relationships" name="Package_Index" sheetId="12" r:id="R82d50858f5444a75"/>
    <x:sheet xmlns:r="http://schemas.openxmlformats.org/officeDocument/2006/relationships" name="Data_Dictionary" sheetId="13" r:id="Rcc13e481a09346f1"/>
    <x:sheet xmlns:r="http://schemas.openxmlformats.org/officeDocument/2006/relationships" name="Status_Values" sheetId="14" r:id="Ref5b2d285a804cfa"/>
    <x:sheet xmlns:r="http://schemas.openxmlformats.org/officeDocument/2006/relationships" name="Relationships" sheetId="15" r:id="Rc51b161bf4cc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-dd hh:mm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0B1526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b/>
      <x:sz val="19"/>
      <x:color rgb="FFFFFFFF"/>
      <x:name val="Carlito"/>
    </x:font>
    <x:font>
      <x:b/>
      <x:sz val="11"/>
      <x:color rgb="FF1D2939"/>
      <x:name val="Carlito"/>
    </x:font>
    <x:font>
      <x:b/>
      <x:sz val="12"/>
      <x:color rgb="FF0B15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526"/>
      </x:patternFill>
    </x:fill>
    <x:fill>
      <x:patternFill patternType="solid">
        <x:fgColor rgb="FFF5F7FA"/>
      </x:patternFill>
    </x:fill>
    <x:fill>
      <x:patternFill patternType="solid">
        <x:fgColor rgb="FF1B2E4A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6">
    <x:border/>
    <x:border>
      <x:bottom style="medium">
        <x:color rgb="FF9E1B32"/>
      </x:bottom>
    </x:border>
    <x:border>
      <x:bottom style="thin">
        <x:color rgb="FFD6DEE8"/>
      </x:bottom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horizontal="center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200" fontId="0" fillId="0" borderId="4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1" fontId="0" fillId="0" borderId="4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0" fillId="0" borderId="4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200" fontId="10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10" fillId="7" borderId="0" xfId="0" applyNumberFormat="1" applyFont="1" applyFill="1" applyBorder="1"/>
    <x:xf numFmtId="200" fontId="10" fillId="7" borderId="0" xfId="0" applyNumberFormat="1" applyFont="1" applyFill="1" applyBorder="1"/>
  </x:cellXfs>
  <x:cellStyles count="1">
    <x:cellStyle name="Normal" xfId="0"/>
  </x:cellStyles>
  <x:dxfs count="26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ed72bc78b4656" /><Relationship Type="http://schemas.openxmlformats.org/officeDocument/2006/relationships/theme" Target="/xl/theme/theme1.xml" Id="R778c19b745004316" /><Relationship Type="http://schemas.microsoft.com/office/2022/11/relationships/FeaturePropertyBag" Target="/xl/featurePropertyBag/featurePropertyBag.xml" Id="R5090116ad78e46dd" /><Relationship Type="http://schemas.openxmlformats.org/officeDocument/2006/relationships/sharedStrings" Target="/xl/sharedStrings.xml" Id="Ra6012a5a09db42b9" /><Relationship Type="http://schemas.openxmlformats.org/officeDocument/2006/relationships/worksheet" Target="/xl/worksheets/sheet1.xml" Id="R58afca21974b4929" /><Relationship Type="http://schemas.openxmlformats.org/officeDocument/2006/relationships/worksheet" Target="/xl/worksheets/sheet2.xml" Id="R9cbf9466c425487b" /><Relationship Type="http://schemas.openxmlformats.org/officeDocument/2006/relationships/worksheet" Target="/xl/worksheets/sheet3.xml" Id="R5e35b196186a414c" /><Relationship Type="http://schemas.openxmlformats.org/officeDocument/2006/relationships/worksheet" Target="/xl/worksheets/sheet4.xml" Id="Re9c1dd40a36b4c85" /><Relationship Type="http://schemas.openxmlformats.org/officeDocument/2006/relationships/worksheet" Target="/xl/worksheets/sheet5.xml" Id="R4f79a14a1066415f" /><Relationship Type="http://schemas.openxmlformats.org/officeDocument/2006/relationships/worksheet" Target="/xl/worksheets/sheet6.xml" Id="R8943b65991234575" /><Relationship Type="http://schemas.openxmlformats.org/officeDocument/2006/relationships/worksheet" Target="/xl/worksheets/sheet7.xml" Id="Rc99fb9d9b1ac4329" /><Relationship Type="http://schemas.openxmlformats.org/officeDocument/2006/relationships/worksheet" Target="/xl/worksheets/sheet8.xml" Id="R47bab76e27c548fa" /><Relationship Type="http://schemas.openxmlformats.org/officeDocument/2006/relationships/worksheet" Target="/xl/worksheets/sheet9.xml" Id="Rda25bd111c32435b" /><Relationship Type="http://schemas.openxmlformats.org/officeDocument/2006/relationships/worksheet" Target="/xl/worksheets/sheet10.xml" Id="R985f067df13042ed" /><Relationship Type="http://schemas.openxmlformats.org/officeDocument/2006/relationships/worksheet" Target="/xl/worksheets/sheet11.xml" Id="R6e97d945d9b2462e" /><Relationship Type="http://schemas.openxmlformats.org/officeDocument/2006/relationships/worksheet" Target="/xl/worksheets/sheet12.xml" Id="R82d50858f5444a75" /><Relationship Type="http://schemas.openxmlformats.org/officeDocument/2006/relationships/worksheet" Target="/xl/worksheets/sheet13.xml" Id="Rcc13e481a09346f1" /><Relationship Type="http://schemas.openxmlformats.org/officeDocument/2006/relationships/worksheet" Target="/xl/worksheets/sheet14.xml" Id="Ref5b2d285a804cfa" /><Relationship Type="http://schemas.openxmlformats.org/officeDocument/2006/relationships/worksheet" Target="/xl/worksheets/sheet15.xml" Id="Rc51b161bf4cc489e" /><Relationship Type="http://schemas.microsoft.com/office/2017/10/relationships/person" Target="/xl/persons/person.xml" Id="R5ce56bd049154f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871d67ff5d4a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headcount by department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'Summary'!$D$7:$D$15</c:f>
              <c:strCache>
                <c:ptCount val="0"/>
              </c:strCache>
            </c:strRef>
          </c:cat>
          <c:val>
            <c:numRef>
              <c:f>'Summary'!$E$7:$E$15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871d67ff5d4a2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F994C4F9-AF68-4E76-AABB-170CBD043E68}"/>
</xltc:personList>
</file>

<file path=xl/tables/table1.xml><?xml version="1.0" encoding="utf-8"?>
<x:table xmlns:x="http://schemas.openxmlformats.org/spreadsheetml/2006/main" id="1" name="Tbl_Departments" displayName="Tbl_Departments" ref="A4:G13" headerRowCount="1" totalsRowCount="0" totalsRowShown="0">
  <x:autoFilter ref="A4:G13"/>
  <x:tableColumns count="7">
    <x:tableColumn id="1" name="department_id"/>
    <x:tableColumn id="2" name="name_ar"/>
    <x:tableColumn id="3" name="name_en"/>
    <x:tableColumn id="4" name="department_type"/>
    <x:tableColumn id="5" name="manager_employee_id"/>
    <x:tableColumn id="6" name="hse_contact_id"/>
    <x:tableColumn id="7" name="active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Zones" displayName="Tbl_Zones" ref="A4:H18" headerRowCount="1" totalsRowCount="0" totalsRowShown="0">
  <x:autoFilter ref="A4:H18"/>
  <x:tableColumns count="8">
    <x:tableColumn id="1" name="zone_id"/>
    <x:tableColumn id="2" name="department_id"/>
    <x:tableColumn id="3" name="name_ar"/>
    <x:tableColumn id="4" name="name_en"/>
    <x:tableColumn id="5" name="zone_type"/>
    <x:tableColumn id="6" name="risk_class"/>
    <x:tableColumn id="7" name="max_occupancy"/>
    <x:tableColumn id="8" name="active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Employees" displayName="Tbl_Employees" ref="A4:K40" headerRowCount="1" totalsRowCount="0" totalsRowShown="0">
  <x:autoFilter ref="A4:K40"/>
  <x:tableColumns count="11">
    <x:tableColumn id="1" name="employee_id"/>
    <x:tableColumn id="2" name="display_name"/>
    <x:tableColumn id="3" name="department_id"/>
    <x:tableColumn id="4" name="zone_id"/>
    <x:tableColumn id="5" name="job_title"/>
    <x:tableColumn id="6" name="manager_id"/>
    <x:tableColumn id="7" name="employment_type"/>
    <x:tableColumn id="8" name="hire_date"/>
    <x:tableColumn id="9" name="email_alias"/>
    <x:tableColumn id="10" name="phone_ext"/>
    <x:tableColumn id="11" name="active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Roles" displayName="Tbl_Roles" ref="A4:D14" headerRowCount="1" totalsRowCount="0" totalsRowShown="0">
  <x:autoFilter ref="A4:D14"/>
  <x:tableColumns count="4">
    <x:tableColumn id="1" name="role_id"/>
    <x:tableColumn id="2" name="role_name"/>
    <x:tableColumn id="3" name="description"/>
    <x:tableColumn id="4" name="scope_leve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Users" displayName="Tbl_Users" ref="A4:F25" headerRowCount="1" totalsRowCount="0" totalsRowShown="0">
  <x:autoFilter ref="A4:F25"/>
  <x:tableColumns count="6">
    <x:tableColumn id="1" name="user_id"/>
    <x:tableColumn id="2" name="employee_id"/>
    <x:tableColumn id="3" name="username"/>
    <x:tableColumn id="4" name="status"/>
    <x:tableColumn id="5" name="mfa_enabled"/>
    <x:tableColumn id="6" name="last_login_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User_Roles" displayName="Tbl_User_Roles" ref="A4:H25" headerRowCount="1" totalsRowCount="0" totalsRowShown="0">
  <x:autoFilter ref="A4:H25"/>
  <x:tableColumns count="8">
    <x:tableColumn id="1" name="assignment_id"/>
    <x:tableColumn id="2" name="user_id"/>
    <x:tableColumn id="3" name="role_id"/>
    <x:tableColumn id="4" name="scope_type"/>
    <x:tableColumn id="5" name="scope_id"/>
    <x:tableColumn id="6" name="valid_from"/>
    <x:tableColumn id="7" name="valid_to"/>
    <x:tableColumn id="8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RBAC_Matrix" displayName="Tbl_RBAC_Matrix" ref="A4:K14" headerRowCount="1" totalsRowCount="0" totalsRowShown="0">
  <x:autoFilter ref="A4:K14"/>
  <x:tableColumns count="11">
    <x:tableColumn id="1" name="role_id"/>
    <x:tableColumn id="2" name="incidents_access"/>
    <x:tableColumn id="3" name="permits_access"/>
    <x:tableColumn id="4" name="inspections_access"/>
    <x:tableColumn id="5" name="risks_access"/>
    <x:tableColumn id="6" name="training_access"/>
    <x:tableColumn id="7" name="health_access"/>
    <x:tableColumn id="8" name="admin_access"/>
    <x:tableColumn id="9" name="approve_high_risk"/>
    <x:tableColumn id="10" name="export_reports"/>
    <x:tableColumn id="11" name="scope_polic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Service_Catalog" displayName="Tbl_Service_Catalog" ref="A4:I20" headerRowCount="1" totalsRowCount="0" totalsRowShown="0">
  <x:autoFilter ref="A4:I20"/>
  <x:tableColumns count="9">
    <x:tableColumn id="1" name="service_id"/>
    <x:tableColumn id="2" name="service_name"/>
    <x:tableColumn id="3" name="runtime"/>
    <x:tableColumn id="4" name="data_store"/>
    <x:tableColumn id="5" name="owner"/>
    <x:tableColumn id="6" name="base_path"/>
    <x:tableColumn id="7" name="health_status"/>
    <x:tableColumn id="8" name="containerized"/>
    <x:tableColumn id="9" name="api_ver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Environments" displayName="Tbl_Environments" ref="A4:G7" headerRowCount="1" totalsRowCount="0" totalsRowShown="0">
  <x:autoFilter ref="A4:G7"/>
  <x:tableColumns count="7">
    <x:tableColumn id="1" name="environment_id"/>
    <x:tableColumn id="2" name="name"/>
    <x:tableColumn id="3" name="purpose"/>
    <x:tableColumn id="4" name="base_url"/>
    <x:tableColumn id="5" name="data_policy"/>
    <x:tableColumn id="6" name="deployment_mode"/>
    <x:tableColumn id="7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Package_Index" displayName="Tbl_Package_Index" ref="A4:D8" headerRowCount="1" totalsRowCount="0" totalsRowShown="0">
  <x:autoFilter ref="A4:D8"/>
  <x:tableColumns count="4">
    <x:tableColumn id="1" name="file_name"/>
    <x:tableColumn id="2" name="workbook_role"/>
    <x:tableColumn id="3" name="contents"/>
    <x:tableColumn id="4" name="primary_user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Data_Dictionary" displayName="Tbl_Data_Dictionary" ref="A4:K658" headerRowCount="1" totalsRowCount="0" totalsRowShown="0">
  <x:autoFilter ref="A4:K658"/>
  <x:tableColumns count="11">
    <x:tableColumn id="1" name="workbook"/>
    <x:tableColumn id="2" name="sheet"/>
    <x:tableColumn id="3" name="field"/>
    <x:tableColumn id="4" name="data_type"/>
    <x:tableColumn id="5" name="required"/>
    <x:tableColumn id="6" name="key_or_reference"/>
    <x:tableColumn id="7" name="description"/>
    <x:tableColumn id="8" name="example"/>
    <x:tableColumn id="9" name="allowed_values"/>
    <x:tableColumn id="10" name="sensitivity"/>
    <x:tableColumn id="11" name="own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Status_Values" displayName="Tbl_Status_Values" ref="A4:F314" headerRowCount="1" totalsRowCount="0" totalsRowShown="0">
  <x:autoFilter ref="A4:F314"/>
  <x:tableColumns count="6">
    <x:tableColumn id="1" name="entity"/>
    <x:tableColumn id="2" name="field"/>
    <x:tableColumn id="3" name="value"/>
    <x:tableColumn id="4" name="meaning"/>
    <x:tableColumn id="5" name="final_state"/>
    <x:tableColumn id="6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Relationships" displayName="Tbl_Relationships" ref="A4:G52" headerRowCount="1" totalsRowCount="0" totalsRowShown="0">
  <x:autoFilter ref="A4:G52"/>
  <x:tableColumns count="7">
    <x:tableColumn id="1" name="relationship_id"/>
    <x:tableColumn id="2" name="parent_sheet"/>
    <x:tableColumn id="3" name="parent_key"/>
    <x:tableColumn id="4" name="child_sheet"/>
    <x:tableColumn id="5" name="child_key"/>
    <x:tableColumn id="6" name="cardinality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0961c06ca6148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9eb9d89985b49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726fa44964a48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078ced5f5264d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8280e2fa09246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59954f9fc9849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a2bd9edfeae4a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3acad61323241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1fcb938263749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d15cec3e824c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6029197e35b47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40074f6e94a4e3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4c274d4ceb64b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70e05b4b7d2c4b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12" hidden="0" customWidth="1"/>
  </x:cols>
  <x:sheetData>
    <x:row r="1" ht="38" customHeight="1">
      <x:c r="A1" s="3" t="str">
        <x:v>ESCA HSE | Master Data &amp; Dictionary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Cross-project reference data, schema dictionary, statuses and relationships</x:v>
      </x:c>
      <x:c r="B2" s="6"/>
      <x:c r="C2" s="6"/>
      <x:c r="D2" s="6"/>
      <x:c r="E2" s="6"/>
      <x:c r="F2" s="6"/>
      <x:c r="G2" s="6"/>
      <x:c r="H2" s="6"/>
    </x:row>
    <x:row r="4">
      <x:c r="A4" s="9" t="str">
        <x:v>Convention</x:v>
      </x:c>
      <x:c r="B4" s="9" t="str">
        <x:v>Details</x:v>
      </x:c>
      <x:c r="C4" s="9"/>
      <x:c r="D4" s="9"/>
    </x:row>
    <x:row r="5" ht="32" customHeight="1">
      <x:c r="A5" s="12" t="str">
        <x:v>Dataset type</x:v>
      </x:c>
      <x:c r="B5" s="14" t="str">
        <x:v>100% synthetic training/development data; no real employee or medical data.</x:v>
      </x:c>
      <x:c r="C5" s="14"/>
      <x:c r="D5" s="14"/>
    </x:row>
    <x:row r="6" ht="32" customHeight="1">
      <x:c r="A6" s="12" t="str">
        <x:v>Reference snapshot</x:v>
      </x:c>
      <x:c r="B6" s="14" t="str">
        <x:v>2026-08-13, timezone Africa/Cairo.</x:v>
      </x:c>
      <x:c r="C6" s="14"/>
      <x:c r="D6" s="14"/>
    </x:row>
    <x:row r="7" ht="44" customHeight="1">
      <x:c r="A7" s="12" t="str">
        <x:v>Source references</x:v>
      </x:c>
      <x:c r="B7" s="14" t="str">
        <x:v>ESCA_HSE_Management_System.html (17-module mockup) and ESCA_HSE_Project_Plan.pdf.</x:v>
      </x:c>
      <x:c r="C7" s="14"/>
      <x:c r="D7" s="14"/>
    </x:row>
    <x:row r="8" ht="32" customHeight="1">
      <x:c r="A8" s="12" t="str">
        <x:v>Identifiers</x:v>
      </x:c>
      <x:c r="B8" s="14" t="str">
        <x:v>Cross-file IDs are intentionally consistent. Do not rename primary keys without updating foreign keys.</x:v>
      </x:c>
      <x:c r="C8" s="14"/>
      <x:c r="D8" s="14"/>
    </x:row>
    <x:row r="9" ht="32" customHeight="1">
      <x:c r="A9" s="12" t="str">
        <x:v>Dates</x:v>
      </x:c>
      <x:c r="B9" s="14" t="str">
        <x:v>Stored as real Excel dates/timestamps. Formula flags use the fixed as-of values in each Summary sheet.</x:v>
      </x:c>
      <x:c r="C9" s="14"/>
      <x:c r="D9" s="14"/>
    </x:row>
    <x:row r="10" ht="32" customHeight="1">
      <x:c r="A10" s="12" t="str">
        <x:v>Status fields</x:v>
      </x:c>
      <x:c r="B10" s="14" t="str">
        <x:v>Use approved values from the Master workbook Status_Values sheet; do not invent new states silently.</x:v>
      </x:c>
      <x:c r="C10" s="14"/>
      <x:c r="D10" s="14"/>
    </x:row>
    <x:row r="11" ht="44" customHeight="1">
      <x:c r="A11" s="12" t="str">
        <x:v>Health data</x:v>
      </x:c>
      <x:c r="B11" s="14" t="str">
        <x:v>Clinic and exam rows contain synthetic high-level fitness/restriction data only; no diagnoses or medications.</x:v>
      </x:c>
      <x:c r="C11" s="14"/>
      <x:c r="D11" s="14"/>
    </x:row>
    <x:row r="12" ht="44" customHeight="1">
      <x:c r="A12" s="12" t="str">
        <x:v>Usage</x:v>
      </x:c>
      <x:c r="B12" s="14" t="str">
        <x:v>Suitable for schema design, import testing, API development, UI wiring, automation tests and demo rehearsal.</x:v>
      </x:c>
      <x:c r="C12" s="14"/>
      <x:c r="D12" s="14"/>
    </x:row>
    <x:row r="14">
      <x:c r="A14" s="9" t="str">
        <x:v>Sheet</x:v>
      </x:c>
      <x:c r="B14" s="9" t="str">
        <x:v>Owner</x:v>
      </x:c>
      <x:c r="C14" s="9" t="str">
        <x:v>Purpose</x:v>
      </x:c>
      <x:c r="D14" s="9" t="str">
        <x:v>Rows</x:v>
      </x:c>
    </x:row>
    <x:row r="15">
      <x:c r="A15" t="str">
        <x:v>Departments</x:v>
      </x:c>
      <x:c r="B15" t="str">
        <x:v>Member 2</x:v>
      </x:c>
      <x:c r="C15" t="str">
        <x:v>Department reference data</x:v>
      </x:c>
      <x:c r="D15" t="n">
        <x:v>9</x:v>
      </x:c>
    </x:row>
    <x:row r="16">
      <x:c r="A16" t="str">
        <x:v>Zones</x:v>
      </x:c>
      <x:c r="B16" t="str">
        <x:v>Member 2</x:v>
      </x:c>
      <x:c r="C16" t="str">
        <x:v>Factory zone reference data</x:v>
      </x:c>
      <x:c r="D16" t="n">
        <x:v>14</x:v>
      </x:c>
    </x:row>
    <x:row r="17">
      <x:c r="A17" t="str">
        <x:v>Employees</x:v>
      </x:c>
      <x:c r="B17" t="str">
        <x:v>Member 2</x:v>
      </x:c>
      <x:c r="C17" t="str">
        <x:v>Synthetic employee master</x:v>
      </x:c>
      <x:c r="D17" t="n">
        <x:v>36</x:v>
      </x:c>
    </x:row>
    <x:row r="18">
      <x:c r="A18" t="str">
        <x:v>Roles</x:v>
      </x:c>
      <x:c r="B18" t="str">
        <x:v>Member 1</x:v>
      </x:c>
      <x:c r="C18" t="str">
        <x:v>RBAC role catalogue</x:v>
      </x:c>
      <x:c r="D18" t="n">
        <x:v>10</x:v>
      </x:c>
    </x:row>
    <x:row r="19">
      <x:c r="A19" t="str">
        <x:v>Users</x:v>
      </x:c>
      <x:c r="B19" t="str">
        <x:v>Member 1</x:v>
      </x:c>
      <x:c r="C19" t="str">
        <x:v>Synthetic application users</x:v>
      </x:c>
      <x:c r="D19" t="n">
        <x:v>21</x:v>
      </x:c>
    </x:row>
    <x:row r="20">
      <x:c r="A20" t="str">
        <x:v>User_Roles</x:v>
      </x:c>
      <x:c r="B20" t="str">
        <x:v>Member 1</x:v>
      </x:c>
      <x:c r="C20" t="str">
        <x:v>Scoped role assignments</x:v>
      </x:c>
      <x:c r="D20" t="n">
        <x:v>21</x:v>
      </x:c>
    </x:row>
    <x:row r="21">
      <x:c r="A21" t="str">
        <x:v>RBAC_Matrix</x:v>
      </x:c>
      <x:c r="B21" t="str">
        <x:v>Member 1</x:v>
      </x:c>
      <x:c r="C21" t="str">
        <x:v>Module-level access matrix including medical isolation</x:v>
      </x:c>
      <x:c r="D21" t="n">
        <x:v>10</x:v>
      </x:c>
    </x:row>
    <x:row r="22">
      <x:c r="A22" t="str">
        <x:v>Service_Catalog</x:v>
      </x:c>
      <x:c r="B22" t="str">
        <x:v>Whole team</x:v>
      </x:c>
      <x:c r="C22" t="str">
        <x:v>Architecture service and ownership catalogue</x:v>
      </x:c>
      <x:c r="D22" t="n">
        <x:v>16</x:v>
      </x:c>
    </x:row>
    <x:row r="23">
      <x:c r="A23" t="str">
        <x:v>Environments</x:v>
      </x:c>
      <x:c r="B23" t="str">
        <x:v>Whole team</x:v>
      </x:c>
      <x:c r="C23" t="str">
        <x:v>Development, test and demo environment reference</x:v>
      </x:c>
      <x:c r="D23" t="n">
        <x:v>3</x:v>
      </x:c>
    </x:row>
    <x:row r="24">
      <x:c r="A24" t="str">
        <x:v>Package_Index</x:v>
      </x:c>
      <x:c r="B24" t="str">
        <x:v>Whole team</x:v>
      </x:c>
      <x:c r="C24" t="str">
        <x:v>Package file index</x:v>
      </x:c>
      <x:c r="D24" t="n">
        <x:v>4</x:v>
      </x:c>
    </x:row>
    <x:row r="25">
      <x:c r="A25" t="str">
        <x:v>Data_Dictionary</x:v>
      </x:c>
      <x:c r="B25" t="str">
        <x:v>Member 1 + Member 2</x:v>
      </x:c>
      <x:c r="C25" t="str">
        <x:v>Field-level schema definitions for all workbooks</x:v>
      </x:c>
      <x:c r="D25" t="n">
        <x:v>654</x:v>
      </x:c>
    </x:row>
    <x:row r="26">
      <x:c r="A26" t="str">
        <x:v>Status_Values</x:v>
      </x:c>
      <x:c r="B26" t="str">
        <x:v>Module owners + HSE</x:v>
      </x:c>
      <x:c r="C26" t="str">
        <x:v>Approved categorical/status values</x:v>
      </x:c>
      <x:c r="D26" t="n">
        <x:v>310</x:v>
      </x:c>
    </x:row>
    <x:row r="27">
      <x:c r="A27" t="str">
        <x:v>Relationships</x:v>
      </x:c>
      <x:c r="B27" t="str">
        <x:v>Whole team</x:v>
      </x:c>
      <x:c r="C27" t="str">
        <x:v>Cross-workbook entity relationships</x:v>
      </x:c>
      <x:c r="D27" t="n">
        <x:v>48</x:v>
      </x:c>
    </x:row>
  </x:sheetData>
  <x:mergeCells>
    <x:mergeCell ref="A1:H1"/>
    <x:mergeCell ref="A2:H2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4" max="4" width="26" hidden="0" customWidth="1"/>
    <x:col min="5" max="5" width="14" hidden="0" customWidth="1"/>
  </x:cols>
  <x:sheetData>
    <x:row r="1" ht="36" customHeight="1">
      <x:c r="A1" s="53" t="str">
        <x:v>ESCA HSE | Master Data Summary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6" customHeight="1">
      <x:c r="A2" s="5" t="str">
        <x:v>Synthetic reference data coverage and headcount by department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1" t="str">
        <x:v>As-of date</x:v>
      </x:c>
      <x:c r="B3" s="54" t="n">
        <x:v>46247</x:v>
      </x:c>
    </x:row>
    <x:row r="4">
      <x:c r="A4" s="11" t="str">
        <x:v>As-of timestamp</x:v>
      </x:c>
      <x:c r="B4" s="55" t="n">
        <x:v>46247.375</x:v>
      </x:c>
    </x:row>
    <x:row r="6">
      <x:c r="A6" s="9" t="str">
        <x:v>KPI</x:v>
      </x:c>
      <x:c r="B6" s="9" t="str">
        <x:v>Value</x:v>
      </x:c>
      <x:c r="D6" s="8" t="str">
        <x:v>Department</x:v>
      </x:c>
      <x:c r="E6" s="8" t="str">
        <x:v>Headcount</x:v>
      </x:c>
    </x:row>
    <x:row r="7">
      <x:c r="A7" s="57" t="str">
        <x:v>Departments</x:v>
      </x:c>
      <x:c r="B7" s="59" t="n">
        <x:f>COUNTA('Departments'!$A$5:$A$50)</x:f>
        <x:v>9</x:v>
      </x:c>
      <x:c r="D7" t="str">
        <x:v>Production A</x:v>
      </x:c>
      <x:c r="E7" t="n">
        <x:f>COUNTIF('Employees'!$C$5:$C$100,"DEP-PROD-A")</x:f>
        <x:v>5</x:v>
      </x:c>
    </x:row>
    <x:row r="8">
      <x:c r="A8" s="61" t="str">
        <x:v>Zones</x:v>
      </x:c>
      <x:c r="B8" s="63" t="n">
        <x:f>COUNTA('Zones'!$A$5:$A$50)</x:f>
        <x:v>14</x:v>
      </x:c>
      <x:c r="D8" t="str">
        <x:v>Production B</x:v>
      </x:c>
      <x:c r="E8" t="n">
        <x:f>COUNTIF('Employees'!$C$5:$C$100,"DEP-PROD-B")</x:f>
        <x:v>5</x:v>
      </x:c>
    </x:row>
    <x:row r="9">
      <x:c r="A9" s="57" t="str">
        <x:v>Employees</x:v>
      </x:c>
      <x:c r="B9" s="59" t="n">
        <x:f>COUNTA('Employees'!$A$5:$A$100)</x:f>
        <x:v>36</x:v>
      </x:c>
      <x:c r="D9" t="str">
        <x:v>Maintenance</x:v>
      </x:c>
      <x:c r="E9" t="n">
        <x:f>COUNTIF('Employees'!$C$5:$C$100,"DEP-MAINT")</x:f>
        <x:v>6</x:v>
      </x:c>
    </x:row>
    <x:row r="10">
      <x:c r="A10" s="61" t="str">
        <x:v>Active employees</x:v>
      </x:c>
      <x:c r="B10" s="63" t="n">
        <x:f>COUNTA('Employees'!$A$5:$A$100)-COUNTIF('Employees'!$K$5:$K$100,0)</x:f>
        <x:v>35</x:v>
      </x:c>
      <x:c r="D10" t="str">
        <x:v>Warehouse</x:v>
      </x:c>
      <x:c r="E10" t="n">
        <x:f>COUNTIF('Employees'!$C$5:$C$100,"DEP-WH")</x:f>
        <x:v>5</x:v>
      </x:c>
    </x:row>
    <x:row r="11">
      <x:c r="A11" s="57" t="str">
        <x:v>Application users</x:v>
      </x:c>
      <x:c r="B11" s="59" t="n">
        <x:f>COUNTA('Users'!$A$5:$A$100)</x:f>
        <x:v>21</x:v>
      </x:c>
      <x:c r="D11" t="str">
        <x:v>Quality &amp; Testing</x:v>
      </x:c>
      <x:c r="E11" t="n">
        <x:f>COUNTIF('Employees'!$C$5:$C$100,"DEP-QC")</x:f>
        <x:v>3</x:v>
      </x:c>
    </x:row>
    <x:row r="12">
      <x:c r="A12" s="61" t="str">
        <x:v>RBAC roles</x:v>
      </x:c>
      <x:c r="B12" s="63" t="n">
        <x:f>COUNTA('Roles'!$A$5:$A$50)</x:f>
        <x:v>10</x:v>
      </x:c>
      <x:c r="D12" t="str">
        <x:v>Utilities &amp; Electrical</x:v>
      </x:c>
      <x:c r="E12" t="n">
        <x:f>COUNTIF('Employees'!$C$5:$C$100,"DEP-UTIL")</x:f>
        <x:v>3</x:v>
      </x:c>
    </x:row>
    <x:row r="13">
      <x:c r="D13" t="str">
        <x:v>Administration</x:v>
      </x:c>
      <x:c r="E13" t="n">
        <x:f>COUNTIF('Employees'!$C$5:$C$100,"DEP-ADMIN")</x:f>
        <x:v>3</x:v>
      </x:c>
    </x:row>
    <x:row r="14">
      <x:c r="D14" t="str">
        <x:v>HSE</x:v>
      </x:c>
      <x:c r="E14" t="n">
        <x:f>COUNTIF('Employees'!$C$5:$C$100,"DEP-HSE")</x:f>
        <x:v>5</x:v>
      </x:c>
    </x:row>
    <x:row r="15">
      <x:c r="D15" t="str">
        <x:v>Occupational Clinic</x:v>
      </x:c>
      <x:c r="E15" t="n">
        <x:f>COUNTIF('Employees'!$C$5:$C$100,"DEP-CLINIC")</x:f>
        <x:v>1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f0961c06ca6148f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</x:cols>
  <x:sheetData>
    <x:row r="1" ht="32" customHeight="1">
      <x:c r="A1" s="17" t="str">
        <x:v>ESCA HSE | Departments</x:v>
      </x:c>
      <x:c r="B1" s="17" t="str">
        <x:v>ESCA HSE | Departments</x:v>
      </x:c>
      <x:c r="C1" s="17" t="str">
        <x:v>ESCA HSE | Departments</x:v>
      </x:c>
      <x:c r="D1" s="17" t="str">
        <x:v>ESCA HSE | Departments</x:v>
      </x:c>
      <x:c r="E1" s="17" t="str">
        <x:v>ESCA HSE | Departments</x:v>
      </x:c>
      <x:c r="F1" s="17" t="str">
        <x:v>ESCA HSE | Departments</x:v>
      </x:c>
      <x:c r="G1" s="17" t="str">
        <x:v>ESCA HSE | Departments</x:v>
      </x:c>
    </x:row>
    <x:row r="2" ht="28" customHeight="1">
      <x:c r="A2" s="21" t="str">
        <x:v>Department reference data | Owner: Member 2 | Synthetic sample data | Snapshot: 2026-08-13</x:v>
      </x:c>
      <x:c r="B2" s="21" t="str">
        <x:v>Department reference data | Owner: Member 2 | Synthetic sample data | Snapshot: 2026-08-13</x:v>
      </x:c>
      <x:c r="C2" s="21" t="str">
        <x:v>Department reference data | Owner: Member 2 | Synthetic sample data | Snapshot: 2026-08-13</x:v>
      </x:c>
      <x:c r="D2" s="21" t="str">
        <x:v>Department reference data | Owner: Member 2 | Synthetic sample data | Snapshot: 2026-08-13</x:v>
      </x:c>
      <x:c r="E2" s="21" t="str">
        <x:v>Department reference data | Owner: Member 2 | Synthetic sample data | Snapshot: 2026-08-13</x:v>
      </x:c>
      <x:c r="F2" s="21" t="str">
        <x:v>Department reference data | Owner: Member 2 | Synthetic sample data | Snapshot: 2026-08-13</x:v>
      </x:c>
      <x:c r="G2" s="21" t="str">
        <x:v>Department reference data | Owner: Member 2 | Synthetic sample data | Snapshot: 2026-08-13</x:v>
      </x:c>
    </x:row>
    <x:row r="4" ht="30" customHeight="1">
      <x:c r="A4" s="26" t="str">
        <x:v>department_id</x:v>
      </x:c>
      <x:c r="B4" s="26" t="str">
        <x:v>name_ar</x:v>
      </x:c>
      <x:c r="C4" s="26" t="str">
        <x:v>name_en</x:v>
      </x:c>
      <x:c r="D4" s="26" t="str">
        <x:v>department_type</x:v>
      </x:c>
      <x:c r="E4" s="26" t="str">
        <x:v>manager_employee_id</x:v>
      </x:c>
      <x:c r="F4" s="26" t="str">
        <x:v>hse_contact_id</x:v>
      </x:c>
      <x:c r="G4" s="26" t="str">
        <x:v>active_flag</x:v>
      </x:c>
    </x:row>
    <x:row r="5" ht="24" customHeight="1">
      <x:c r="A5" s="31" t="str">
        <x:v>DEP-PROD-A</x:v>
      </x:c>
      <x:c r="B5" s="31" t="str">
        <x:v>الإنتاج A</x:v>
      </x:c>
      <x:c r="C5" s="31" t="str">
        <x:v>Production A</x:v>
      </x:c>
      <x:c r="D5" s="31" t="str">
        <x:v>PRODUCTION</x:v>
      </x:c>
      <x:c r="E5" s="31" t="str">
        <x:v>EMP-001</x:v>
      </x:c>
      <x:c r="F5" s="31" t="str">
        <x:v>EMP-010</x:v>
      </x:c>
      <x:c r="G5" s="32" t="b">
        <x:v>1</x:v>
      </x:c>
    </x:row>
    <x:row r="6" ht="24" customHeight="1">
      <x:c r="A6" s="33" t="str">
        <x:v>DEP-PROD-B</x:v>
      </x:c>
      <x:c r="B6" s="33" t="str">
        <x:v>الإنتاج B</x:v>
      </x:c>
      <x:c r="C6" s="33" t="str">
        <x:v>Production B</x:v>
      </x:c>
      <x:c r="D6" s="33" t="str">
        <x:v>PRODUCTION</x:v>
      </x:c>
      <x:c r="E6" s="33" t="str">
        <x:v>EMP-002</x:v>
      </x:c>
      <x:c r="F6" s="33" t="str">
        <x:v>EMP-010</x:v>
      </x:c>
      <x:c r="G6" s="34" t="b">
        <x:v>1</x:v>
      </x:c>
    </x:row>
    <x:row r="7" ht="24" customHeight="1">
      <x:c r="A7" s="33" t="str">
        <x:v>DEP-MAINT</x:v>
      </x:c>
      <x:c r="B7" s="33" t="str">
        <x:v>الصيانة</x:v>
      </x:c>
      <x:c r="C7" s="33" t="str">
        <x:v>Maintenance</x:v>
      </x:c>
      <x:c r="D7" s="33" t="str">
        <x:v>OPERATIONS</x:v>
      </x:c>
      <x:c r="E7" s="33" t="str">
        <x:v>EMP-003</x:v>
      </x:c>
      <x:c r="F7" s="33" t="str">
        <x:v>EMP-011</x:v>
      </x:c>
      <x:c r="G7" s="34" t="b">
        <x:v>1</x:v>
      </x:c>
    </x:row>
    <x:row r="8" ht="24" customHeight="1">
      <x:c r="A8" s="33" t="str">
        <x:v>DEP-WH</x:v>
      </x:c>
      <x:c r="B8" s="33" t="str">
        <x:v>المخازن</x:v>
      </x:c>
      <x:c r="C8" s="33" t="str">
        <x:v>Warehouse</x:v>
      </x:c>
      <x:c r="D8" s="33" t="str">
        <x:v>OPERATIONS</x:v>
      </x:c>
      <x:c r="E8" s="33" t="str">
        <x:v>EMP-004</x:v>
      </x:c>
      <x:c r="F8" s="33" t="str">
        <x:v>EMP-011</x:v>
      </x:c>
      <x:c r="G8" s="34" t="b">
        <x:v>1</x:v>
      </x:c>
    </x:row>
    <x:row r="9" ht="24" customHeight="1">
      <x:c r="A9" s="33" t="str">
        <x:v>DEP-QC</x:v>
      </x:c>
      <x:c r="B9" s="33" t="str">
        <x:v>الجودة والاختبارات</x:v>
      </x:c>
      <x:c r="C9" s="33" t="str">
        <x:v>Quality &amp; Testing</x:v>
      </x:c>
      <x:c r="D9" s="33" t="str">
        <x:v>TECHNICAL</x:v>
      </x:c>
      <x:c r="E9" s="33" t="str">
        <x:v>EMP-005</x:v>
      </x:c>
      <x:c r="F9" s="33" t="str">
        <x:v>EMP-012</x:v>
      </x:c>
      <x:c r="G9" s="34" t="b">
        <x:v>1</x:v>
      </x:c>
    </x:row>
    <x:row r="10" ht="24" customHeight="1">
      <x:c r="A10" s="33" t="str">
        <x:v>DEP-UTIL</x:v>
      </x:c>
      <x:c r="B10" s="33" t="str">
        <x:v>الكهرباء والمرافق</x:v>
      </x:c>
      <x:c r="C10" s="33" t="str">
        <x:v>Utilities &amp; Electrical</x:v>
      </x:c>
      <x:c r="D10" s="33" t="str">
        <x:v>OPERATIONS</x:v>
      </x:c>
      <x:c r="E10" s="33" t="str">
        <x:v>EMP-006</x:v>
      </x:c>
      <x:c r="F10" s="33" t="str">
        <x:v>EMP-012</x:v>
      </x:c>
      <x:c r="G10" s="34" t="b">
        <x:v>1</x:v>
      </x:c>
    </x:row>
    <x:row r="11" ht="24" customHeight="1">
      <x:c r="A11" s="33" t="str">
        <x:v>DEP-ADMIN</x:v>
      </x:c>
      <x:c r="B11" s="33" t="str">
        <x:v>الإدارة</x:v>
      </x:c>
      <x:c r="C11" s="33" t="str">
        <x:v>Administration</x:v>
      </x:c>
      <x:c r="D11" s="33" t="str">
        <x:v>ADMIN</x:v>
      </x:c>
      <x:c r="E11" s="33" t="str">
        <x:v>EMP-007</x:v>
      </x:c>
      <x:c r="F11" s="33" t="str">
        <x:v>EMP-010</x:v>
      </x:c>
      <x:c r="G11" s="34" t="b">
        <x:v>1</x:v>
      </x:c>
    </x:row>
    <x:row r="12" ht="24" customHeight="1">
      <x:c r="A12" s="33" t="str">
        <x:v>DEP-HSE</x:v>
      </x:c>
      <x:c r="B12" s="33" t="str">
        <x:v>السلامة والصحة المهنية</x:v>
      </x:c>
      <x:c r="C12" s="33" t="str">
        <x:v>HSE</x:v>
      </x:c>
      <x:c r="D12" s="33" t="str">
        <x:v>CONTROL</x:v>
      </x:c>
      <x:c r="E12" s="33" t="str">
        <x:v>EMP-008</x:v>
      </x:c>
      <x:c r="F12" s="33" t="str">
        <x:v>EMP-008</x:v>
      </x:c>
      <x:c r="G12" s="34" t="b">
        <x:v>1</x:v>
      </x:c>
    </x:row>
    <x:row r="13" ht="24" customHeight="1">
      <x:c r="A13" s="35" t="str">
        <x:v>DEP-CLINIC</x:v>
      </x:c>
      <x:c r="B13" s="35" t="str">
        <x:v>العيادة</x:v>
      </x:c>
      <x:c r="C13" s="35" t="str">
        <x:v>Occupational Clinic</x:v>
      </x:c>
      <x:c r="D13" s="35" t="str">
        <x:v>HEALTH</x:v>
      </x:c>
      <x:c r="E13" s="35" t="str">
        <x:v>EMP-009</x:v>
      </x:c>
      <x:c r="F13" s="35" t="str">
        <x:v>EMP-008</x:v>
      </x:c>
      <x:c r="G13" s="36" t="b">
        <x:v>1</x:v>
      </x:c>
    </x:row>
  </x:sheetData>
  <x:mergeCells>
    <x:mergeCell ref="A1:G1"/>
    <x:mergeCell ref="A2:G2"/>
  </x:mergeCells>
  <x:conditionalFormatting sqref="G5:G13">
    <x:cfRule type="containsText" dxfId="0" priority="1" operator="containsText" text="CRITICAL"/>
    <x:cfRule type="containsText" dxfId="1" priority="2" operator="containsText" text="EXPIRED"/>
    <x:cfRule type="containsText" dxfId="2" priority="3" operator="containsText" text="FAILED"/>
    <x:cfRule type="containsText" dxfId="3" priority="4" operator="containsText" text="OVERDUE"/>
    <x:cfRule type="containsText" dxfId="4" priority="5" operator="containsText" text="REJECTED"/>
    <x:cfRule type="containsText" dxfId="5" priority="6" operator="containsText" text="OUT_OF_SERVICE"/>
    <x:cfRule type="containsText" dxfId="6" priority="7" operator="containsText" text="BELOW_THRESHOLD"/>
    <x:cfRule type="containsText" dxfId="7" priority="8" operator="containsText" text="HIGH"/>
    <x:cfRule type="containsText" dxfId="8" priority="9" operator="containsText" text="WARNING"/>
    <x:cfRule type="containsText" dxfId="9" priority="10" operator="containsText" text="DUE_SOON"/>
    <x:cfRule type="containsText" dxfId="10" priority="11" operator="containsText" text="OPEN"/>
    <x:cfRule type="containsText" dxfId="11" priority="12" operator="containsText" text="PENDING"/>
    <x:cfRule type="containsText" dxfId="12" priority="13" operator="containsText" text="SUSPENDED"/>
    <x:cfRule type="containsText" dxfId="13" priority="14" operator="containsText" text="TESTING"/>
    <x:cfRule type="containsText" dxfId="14" priority="15" operator="containsText" text="PARTIAL_FAILURE"/>
    <x:cfRule type="containsText" dxfId="15" priority="16" operator="containsText" text="LOW_STOCK"/>
    <x:cfRule type="containsText" dxfId="16" priority="17" operator="containsText" text="ACTIVE"/>
    <x:cfRule type="containsText" dxfId="17" priority="18" operator="containsText" text="VALID"/>
    <x:cfRule type="containsText" dxfId="18" priority="19" operator="containsText" text="SUCCESS"/>
    <x:cfRule type="containsText" dxfId="19" priority="20" operator="containsText" text="COMPLETED"/>
    <x:cfRule type="containsText" dxfId="20" priority="21" operator="containsText" text="CLOSED"/>
    <x:cfRule type="containsText" dxfId="21" priority="22" operator="containsText" text="CONNECTED"/>
    <x:cfRule type="containsText" dxfId="22" priority="23" operator="containsText" text="NORMAL"/>
    <x:cfRule type="containsText" dxfId="23" priority="24" operator="containsText" text="VERIFIED"/>
    <x:cfRule type="containsText" dxfId="24" priority="25" operator="containsText" text="RESOLVED"/>
    <x:cfRule type="containsText" dxfId="25" priority="26" operator="containsText" text="PASS"/>
    <x:cfRule type="containsText" dxfId="26" priority="27" operator="containsText" text="OK"/>
    <x:cfRule type="containsText" dxfId="27" priority="28" operator="containsText" text="INFO"/>
    <x:cfRule type="containsText" dxfId="28" priority="29" operator="containsText" text="DRAFT"/>
    <x:cfRule type="containsText" dxfId="29" priority="30" operator="containsText" text="SCHEDULED"/>
    <x:cfRule type="containsText" dxfId="30" priority="31" operator="containsText" text="IN_PROGRESS"/>
    <x:cfRule type="containsText" dxfId="31" priority="32" operator="containsText" text="MODEL_REVIEW"/>
    <x:cfRule type="containsText" dxfId="32" priority="33" operator="containsText" text="READ"/>
  </x:conditionalFormatting>
  <x:dataValidations count="1">
    <x:dataValidation type="list" sqref="D5:D13">
      <x:formula1>"PRODUCTION,OPERATIONS,TECHNICAL,ADMIN,CONTROL,HEALTH"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eb9d89985b49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</x:cols>
  <x:sheetData>
    <x:row r="1" ht="32" customHeight="1">
      <x:c r="A1" s="17" t="str">
        <x:v>ESCA HSE | Zones</x:v>
      </x:c>
      <x:c r="B1" s="17" t="str">
        <x:v>ESCA HSE | Zones</x:v>
      </x:c>
      <x:c r="C1" s="17" t="str">
        <x:v>ESCA HSE | Zones</x:v>
      </x:c>
      <x:c r="D1" s="17" t="str">
        <x:v>ESCA HSE | Zones</x:v>
      </x:c>
      <x:c r="E1" s="17" t="str">
        <x:v>ESCA HSE | Zones</x:v>
      </x:c>
      <x:c r="F1" s="17" t="str">
        <x:v>ESCA HSE | Zones</x:v>
      </x:c>
      <x:c r="G1" s="17" t="str">
        <x:v>ESCA HSE | Zones</x:v>
      </x:c>
      <x:c r="H1" s="17" t="str">
        <x:v>ESCA HSE | Zones</x:v>
      </x:c>
    </x:row>
    <x:row r="2" ht="28" customHeight="1">
      <x:c r="A2" s="21" t="str">
        <x:v>Factory zone reference data | Owner: Member 2 | Synthetic sample data | Snapshot: 2026-08-13</x:v>
      </x:c>
      <x:c r="B2" s="21" t="str">
        <x:v>Factory zone reference data | Owner: Member 2 | Synthetic sample data | Snapshot: 2026-08-13</x:v>
      </x:c>
      <x:c r="C2" s="21" t="str">
        <x:v>Factory zone reference data | Owner: Member 2 | Synthetic sample data | Snapshot: 2026-08-13</x:v>
      </x:c>
      <x:c r="D2" s="21" t="str">
        <x:v>Factory zone reference data | Owner: Member 2 | Synthetic sample data | Snapshot: 2026-08-13</x:v>
      </x:c>
      <x:c r="E2" s="21" t="str">
        <x:v>Factory zone reference data | Owner: Member 2 | Synthetic sample data | Snapshot: 2026-08-13</x:v>
      </x:c>
      <x:c r="F2" s="21" t="str">
        <x:v>Factory zone reference data | Owner: Member 2 | Synthetic sample data | Snapshot: 2026-08-13</x:v>
      </x:c>
      <x:c r="G2" s="21" t="str">
        <x:v>Factory zone reference data | Owner: Member 2 | Synthetic sample data | Snapshot: 2026-08-13</x:v>
      </x:c>
      <x:c r="H2" s="21" t="str">
        <x:v>Factory zone reference data | Owner: Member 2 | Synthetic sample data | Snapshot: 2026-08-13</x:v>
      </x:c>
    </x:row>
    <x:row r="4" ht="30" customHeight="1">
      <x:c r="A4" s="26" t="str">
        <x:v>zone_id</x:v>
      </x:c>
      <x:c r="B4" s="26" t="str">
        <x:v>department_id</x:v>
      </x:c>
      <x:c r="C4" s="26" t="str">
        <x:v>name_ar</x:v>
      </x:c>
      <x:c r="D4" s="26" t="str">
        <x:v>name_en</x:v>
      </x:c>
      <x:c r="E4" s="26" t="str">
        <x:v>zone_type</x:v>
      </x:c>
      <x:c r="F4" s="26" t="str">
        <x:v>risk_class</x:v>
      </x:c>
      <x:c r="G4" s="26" t="str">
        <x:v>max_occupancy</x:v>
      </x:c>
      <x:c r="H4" s="26" t="str">
        <x:v>active_flag</x:v>
      </x:c>
    </x:row>
    <x:row r="5" ht="24" customHeight="1">
      <x:c r="A5" s="31" t="str">
        <x:v>ZN-A1</x:v>
      </x:c>
      <x:c r="B5" s="31" t="str">
        <x:v>DEP-PROD-A</x:v>
      </x:c>
      <x:c r="C5" s="31" t="str">
        <x:v>خط الإنتاج A1</x:v>
      </x:c>
      <x:c r="D5" s="31" t="str">
        <x:v>Production Line A1</x:v>
      </x:c>
      <x:c r="E5" s="31" t="str">
        <x:v>PRODUCTION_LINE</x:v>
      </x:c>
      <x:c r="F5" s="31" t="str">
        <x:v>HIGH</x:v>
      </x:c>
      <x:c r="G5" s="38" t="n">
        <x:v>64</x:v>
      </x:c>
      <x:c r="H5" s="32" t="b">
        <x:v>1</x:v>
      </x:c>
    </x:row>
    <x:row r="6" ht="24" customHeight="1">
      <x:c r="A6" s="33" t="str">
        <x:v>ZN-A2</x:v>
      </x:c>
      <x:c r="B6" s="33" t="str">
        <x:v>DEP-PROD-A</x:v>
      </x:c>
      <x:c r="C6" s="33" t="str">
        <x:v>الحقن A2</x:v>
      </x:c>
      <x:c r="D6" s="33" t="str">
        <x:v>Injection A2</x:v>
      </x:c>
      <x:c r="E6" s="33" t="str">
        <x:v>PRODUCTION_LINE</x:v>
      </x:c>
      <x:c r="F6" s="33" t="str">
        <x:v>HIGH</x:v>
      </x:c>
      <x:c r="G6" s="39" t="n">
        <x:v>34</x:v>
      </x:c>
      <x:c r="H6" s="34" t="b">
        <x:v>1</x:v>
      </x:c>
    </x:row>
    <x:row r="7" ht="24" customHeight="1">
      <x:c r="A7" s="33" t="str">
        <x:v>ZN-B1</x:v>
      </x:c>
      <x:c r="B7" s="33" t="str">
        <x:v>DEP-PROD-B</x:v>
      </x:c>
      <x:c r="C7" s="33" t="str">
        <x:v>خط الإنتاج B1</x:v>
      </x:c>
      <x:c r="D7" s="33" t="str">
        <x:v>Production Line B1</x:v>
      </x:c>
      <x:c r="E7" s="33" t="str">
        <x:v>PRODUCTION_LINE</x:v>
      </x:c>
      <x:c r="F7" s="33" t="str">
        <x:v>MEDIUM</x:v>
      </x:c>
      <x:c r="G7" s="39" t="n">
        <x:v>58</x:v>
      </x:c>
      <x:c r="H7" s="34" t="b">
        <x:v>1</x:v>
      </x:c>
    </x:row>
    <x:row r="8" ht="24" customHeight="1">
      <x:c r="A8" s="33" t="str">
        <x:v>ZN-B2</x:v>
      </x:c>
      <x:c r="B8" s="33" t="str">
        <x:v>DEP-PROD-B</x:v>
      </x:c>
      <x:c r="C8" s="33" t="str">
        <x:v>التعبئة B2</x:v>
      </x:c>
      <x:c r="D8" s="33" t="str">
        <x:v>Packing B2</x:v>
      </x:c>
      <x:c r="E8" s="33" t="str">
        <x:v>PACKING</x:v>
      </x:c>
      <x:c r="F8" s="33" t="str">
        <x:v>MEDIUM</x:v>
      </x:c>
      <x:c r="G8" s="39" t="n">
        <x:v>28</x:v>
      </x:c>
      <x:c r="H8" s="34" t="b">
        <x:v>1</x:v>
      </x:c>
    </x:row>
    <x:row r="9" ht="24" customHeight="1">
      <x:c r="A9" s="33" t="str">
        <x:v>ZN-M01</x:v>
      </x:c>
      <x:c r="B9" s="33" t="str">
        <x:v>DEP-MAINT</x:v>
      </x:c>
      <x:c r="C9" s="33" t="str">
        <x:v>ورشة الصيانة</x:v>
      </x:c>
      <x:c r="D9" s="33" t="str">
        <x:v>Maintenance Workshop</x:v>
      </x:c>
      <x:c r="E9" s="33" t="str">
        <x:v>WORKSHOP</x:v>
      </x:c>
      <x:c r="F9" s="33" t="str">
        <x:v>HIGH</x:v>
      </x:c>
      <x:c r="G9" s="39" t="n">
        <x:v>34</x:v>
      </x:c>
      <x:c r="H9" s="34" t="b">
        <x:v>1</x:v>
      </x:c>
    </x:row>
    <x:row r="10" ht="24" customHeight="1">
      <x:c r="A10" s="33" t="str">
        <x:v>ZN-W01</x:v>
      </x:c>
      <x:c r="B10" s="33" t="str">
        <x:v>DEP-WH</x:v>
      </x:c>
      <x:c r="C10" s="33" t="str">
        <x:v>مخزن الخامات</x:v>
      </x:c>
      <x:c r="D10" s="33" t="str">
        <x:v>Raw Material Warehouse</x:v>
      </x:c>
      <x:c r="E10" s="33" t="str">
        <x:v>WAREHOUSE</x:v>
      </x:c>
      <x:c r="F10" s="33" t="str">
        <x:v>HIGH</x:v>
      </x:c>
      <x:c r="G10" s="39" t="n">
        <x:v>40</x:v>
      </x:c>
      <x:c r="H10" s="34" t="b">
        <x:v>1</x:v>
      </x:c>
    </x:row>
    <x:row r="11" ht="24" customHeight="1">
      <x:c r="A11" s="33" t="str">
        <x:v>ZN-W02</x:v>
      </x:c>
      <x:c r="B11" s="33" t="str">
        <x:v>DEP-WH</x:v>
      </x:c>
      <x:c r="C11" s="33" t="str">
        <x:v>منطقة التحميل</x:v>
      </x:c>
      <x:c r="D11" s="33" t="str">
        <x:v>Loading Area</x:v>
      </x:c>
      <x:c r="E11" s="33" t="str">
        <x:v>LOGISTICS</x:v>
      </x:c>
      <x:c r="F11" s="33" t="str">
        <x:v>HIGH</x:v>
      </x:c>
      <x:c r="G11" s="39" t="n">
        <x:v>22</x:v>
      </x:c>
      <x:c r="H11" s="34" t="b">
        <x:v>1</x:v>
      </x:c>
    </x:row>
    <x:row r="12" ht="24" customHeight="1">
      <x:c r="A12" s="33" t="str">
        <x:v>ZN-Q01</x:v>
      </x:c>
      <x:c r="B12" s="33" t="str">
        <x:v>DEP-QC</x:v>
      </x:c>
      <x:c r="C12" s="33" t="str">
        <x:v>معمل الجودة</x:v>
      </x:c>
      <x:c r="D12" s="33" t="str">
        <x:v>Quality Laboratory</x:v>
      </x:c>
      <x:c r="E12" s="33" t="str">
        <x:v>LAB</x:v>
      </x:c>
      <x:c r="F12" s="33" t="str">
        <x:v>MEDIUM</x:v>
      </x:c>
      <x:c r="G12" s="39" t="n">
        <x:v>18</x:v>
      </x:c>
      <x:c r="H12" s="34" t="b">
        <x:v>1</x:v>
      </x:c>
    </x:row>
    <x:row r="13" ht="24" customHeight="1">
      <x:c r="A13" s="33" t="str">
        <x:v>ZN-U01</x:v>
      </x:c>
      <x:c r="B13" s="33" t="str">
        <x:v>DEP-UTIL</x:v>
      </x:c>
      <x:c r="C13" s="33" t="str">
        <x:v>محطة الكهرباء MV</x:v>
      </x:c>
      <x:c r="D13" s="33" t="str">
        <x:v>MV Electrical Station</x:v>
      </x:c>
      <x:c r="E13" s="33" t="str">
        <x:v>ELECTRICAL</x:v>
      </x:c>
      <x:c r="F13" s="33" t="str">
        <x:v>CRITICAL</x:v>
      </x:c>
      <x:c r="G13" s="39" t="n">
        <x:v>12</x:v>
      </x:c>
      <x:c r="H13" s="34" t="b">
        <x:v>1</x:v>
      </x:c>
    </x:row>
    <x:row r="14" ht="24" customHeight="1">
      <x:c r="A14" s="33" t="str">
        <x:v>ZN-U02</x:v>
      </x:c>
      <x:c r="B14" s="33" t="str">
        <x:v>DEP-UTIL</x:v>
      </x:c>
      <x:c r="C14" s="33" t="str">
        <x:v>خزان المياه الأرضي</x:v>
      </x:c>
      <x:c r="D14" s="33" t="str">
        <x:v>Underground Water Tank</x:v>
      </x:c>
      <x:c r="E14" s="33" t="str">
        <x:v>CONFINED_SPACE</x:v>
      </x:c>
      <x:c r="F14" s="33" t="str">
        <x:v>CRITICAL</x:v>
      </x:c>
      <x:c r="G14" s="39" t="n">
        <x:v>6</x:v>
      </x:c>
      <x:c r="H14" s="34" t="b">
        <x:v>1</x:v>
      </x:c>
    </x:row>
    <x:row r="15" ht="24" customHeight="1">
      <x:c r="A15" s="33" t="str">
        <x:v>ZN-CHEM</x:v>
      </x:c>
      <x:c r="B15" s="33" t="str">
        <x:v>DEP-WH</x:v>
      </x:c>
      <x:c r="C15" s="33" t="str">
        <x:v>مخزن الكيماويات</x:v>
      </x:c>
      <x:c r="D15" s="33" t="str">
        <x:v>Chemical Store</x:v>
      </x:c>
      <x:c r="E15" s="33" t="str">
        <x:v>CHEMICAL_STORAGE</x:v>
      </x:c>
      <x:c r="F15" s="33" t="str">
        <x:v>CRITICAL</x:v>
      </x:c>
      <x:c r="G15" s="39" t="n">
        <x:v>10</x:v>
      </x:c>
      <x:c r="H15" s="34" t="b">
        <x:v>1</x:v>
      </x:c>
    </x:row>
    <x:row r="16" ht="24" customHeight="1">
      <x:c r="A16" s="33" t="str">
        <x:v>ZN-ADM</x:v>
      </x:c>
      <x:c r="B16" s="33" t="str">
        <x:v>DEP-ADMIN</x:v>
      </x:c>
      <x:c r="C16" s="33" t="str">
        <x:v>المبنى الإداري</x:v>
      </x:c>
      <x:c r="D16" s="33" t="str">
        <x:v>Administration Building</x:v>
      </x:c>
      <x:c r="E16" s="33" t="str">
        <x:v>OFFICE</x:v>
      </x:c>
      <x:c r="F16" s="33" t="str">
        <x:v>LOW</x:v>
      </x:c>
      <x:c r="G16" s="39" t="n">
        <x:v>94</x:v>
      </x:c>
      <x:c r="H16" s="34" t="b">
        <x:v>1</x:v>
      </x:c>
    </x:row>
    <x:row r="17" ht="24" customHeight="1">
      <x:c r="A17" s="33" t="str">
        <x:v>ZN-HSE</x:v>
      </x:c>
      <x:c r="B17" s="33" t="str">
        <x:v>DEP-HSE</x:v>
      </x:c>
      <x:c r="C17" s="33" t="str">
        <x:v>مكتب HSE</x:v>
      </x:c>
      <x:c r="D17" s="33" t="str">
        <x:v>HSE Office</x:v>
      </x:c>
      <x:c r="E17" s="33" t="str">
        <x:v>OFFICE</x:v>
      </x:c>
      <x:c r="F17" s="33" t="str">
        <x:v>LOW</x:v>
      </x:c>
      <x:c r="G17" s="39" t="n">
        <x:v>12</x:v>
      </x:c>
      <x:c r="H17" s="34" t="b">
        <x:v>1</x:v>
      </x:c>
    </x:row>
    <x:row r="18" ht="24" customHeight="1">
      <x:c r="A18" s="35" t="str">
        <x:v>ZN-CLN</x:v>
      </x:c>
      <x:c r="B18" s="35" t="str">
        <x:v>DEP-CLINIC</x:v>
      </x:c>
      <x:c r="C18" s="35" t="str">
        <x:v>العيادة الداخلية</x:v>
      </x:c>
      <x:c r="D18" s="35" t="str">
        <x:v>Site Clinic</x:v>
      </x:c>
      <x:c r="E18" s="35" t="str">
        <x:v>CLINIC</x:v>
      </x:c>
      <x:c r="F18" s="35" t="str">
        <x:v>LOW</x:v>
      </x:c>
      <x:c r="G18" s="40" t="n">
        <x:v>10</x:v>
      </x:c>
      <x:c r="H18" s="36" t="b">
        <x:v>1</x:v>
      </x:c>
    </x:row>
  </x:sheetData>
  <x:mergeCells>
    <x:mergeCell ref="A1:H1"/>
    <x:mergeCell ref="A2:H2"/>
  </x:mergeCells>
  <x:conditionalFormatting sqref="H5:H18">
    <x:cfRule type="containsText" dxfId="33" priority="1" operator="containsText" text="CRITICAL"/>
    <x:cfRule type="containsText" dxfId="34" priority="2" operator="containsText" text="EXPIRED"/>
    <x:cfRule type="containsText" dxfId="35" priority="3" operator="containsText" text="FAILED"/>
    <x:cfRule type="containsText" dxfId="36" priority="4" operator="containsText" text="OVERDUE"/>
    <x:cfRule type="containsText" dxfId="37" priority="5" operator="containsText" text="REJECTED"/>
    <x:cfRule type="containsText" dxfId="38" priority="6" operator="containsText" text="OUT_OF_SERVICE"/>
    <x:cfRule type="containsText" dxfId="39" priority="7" operator="containsText" text="BELOW_THRESHOLD"/>
    <x:cfRule type="containsText" dxfId="40" priority="8" operator="containsText" text="HIGH"/>
    <x:cfRule type="containsText" dxfId="41" priority="9" operator="containsText" text="WARNING"/>
    <x:cfRule type="containsText" dxfId="42" priority="10" operator="containsText" text="DUE_SOON"/>
    <x:cfRule type="containsText" dxfId="43" priority="11" operator="containsText" text="OPEN"/>
    <x:cfRule type="containsText" dxfId="44" priority="12" operator="containsText" text="PENDING"/>
    <x:cfRule type="containsText" dxfId="45" priority="13" operator="containsText" text="SUSPENDED"/>
    <x:cfRule type="containsText" dxfId="46" priority="14" operator="containsText" text="TESTING"/>
    <x:cfRule type="containsText" dxfId="47" priority="15" operator="containsText" text="PARTIAL_FAILURE"/>
    <x:cfRule type="containsText" dxfId="48" priority="16" operator="containsText" text="LOW_STOCK"/>
    <x:cfRule type="containsText" dxfId="49" priority="17" operator="containsText" text="ACTIVE"/>
    <x:cfRule type="containsText" dxfId="50" priority="18" operator="containsText" text="VALID"/>
    <x:cfRule type="containsText" dxfId="51" priority="19" operator="containsText" text="SUCCESS"/>
    <x:cfRule type="containsText" dxfId="52" priority="20" operator="containsText" text="COMPLETED"/>
    <x:cfRule type="containsText" dxfId="53" priority="21" operator="containsText" text="CLOSED"/>
    <x:cfRule type="containsText" dxfId="54" priority="22" operator="containsText" text="CONNECTED"/>
    <x:cfRule type="containsText" dxfId="55" priority="23" operator="containsText" text="NORMAL"/>
    <x:cfRule type="containsText" dxfId="56" priority="24" operator="containsText" text="VERIFIED"/>
    <x:cfRule type="containsText" dxfId="57" priority="25" operator="containsText" text="RESOLVED"/>
    <x:cfRule type="containsText" dxfId="58" priority="26" operator="containsText" text="PASS"/>
    <x:cfRule type="containsText" dxfId="59" priority="27" operator="containsText" text="OK"/>
    <x:cfRule type="containsText" dxfId="60" priority="28" operator="containsText" text="INFO"/>
    <x:cfRule type="containsText" dxfId="61" priority="29" operator="containsText" text="DRAFT"/>
    <x:cfRule type="containsText" dxfId="62" priority="30" operator="containsText" text="SCHEDULED"/>
    <x:cfRule type="containsText" dxfId="63" priority="31" operator="containsText" text="IN_PROGRESS"/>
    <x:cfRule type="containsText" dxfId="64" priority="32" operator="containsText" text="MODEL_REVIEW"/>
    <x:cfRule type="containsText" dxfId="65" priority="33" operator="containsText" text="READ"/>
  </x:conditionalFormatting>
  <x:dataValidations count="1">
    <x:dataValidation type="list" sqref="F5:F18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6fa44964a48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18" hidden="0" customWidth="1"/>
    <x:col min="8" max="8" width="13" hidden="0" customWidth="1"/>
    <x:col min="9" max="9" width="28" hidden="0" customWidth="1"/>
    <x:col min="10" max="10" width="18" hidden="0" customWidth="1"/>
    <x:col min="11" max="11" width="13" hidden="0" customWidth="1"/>
  </x:cols>
  <x:sheetData>
    <x:row r="1" ht="32" customHeight="1">
      <x:c r="A1" s="17" t="str">
        <x:v>ESCA HSE | Employees</x:v>
      </x:c>
      <x:c r="B1" s="17" t="str">
        <x:v>ESCA HSE | Employees</x:v>
      </x:c>
      <x:c r="C1" s="17" t="str">
        <x:v>ESCA HSE | Employees</x:v>
      </x:c>
      <x:c r="D1" s="17" t="str">
        <x:v>ESCA HSE | Employees</x:v>
      </x:c>
      <x:c r="E1" s="17" t="str">
        <x:v>ESCA HSE | Employees</x:v>
      </x:c>
      <x:c r="F1" s="17" t="str">
        <x:v>ESCA HSE | Employees</x:v>
      </x:c>
      <x:c r="G1" s="17" t="str">
        <x:v>ESCA HSE | Employees</x:v>
      </x:c>
      <x:c r="H1" s="17" t="str">
        <x:v>ESCA HSE | Employees</x:v>
      </x:c>
      <x:c r="I1" s="17" t="str">
        <x:v>ESCA HSE | Employees</x:v>
      </x:c>
      <x:c r="J1" s="17" t="str">
        <x:v>ESCA HSE | Employees</x:v>
      </x:c>
      <x:c r="K1" s="17" t="str">
        <x:v>ESCA HSE | Employees</x:v>
      </x:c>
    </x:row>
    <x:row r="2" ht="28" customHeight="1">
      <x:c r="A2" s="21" t="str">
        <x:v>Synthetic employee master | Owner: Member 2 | Synthetic sample data | Snapshot: 2026-08-13</x:v>
      </x:c>
      <x:c r="B2" s="21" t="str">
        <x:v>Synthetic employee master | Owner: Member 2 | Synthetic sample data | Snapshot: 2026-08-13</x:v>
      </x:c>
      <x:c r="C2" s="21" t="str">
        <x:v>Synthetic employee master | Owner: Member 2 | Synthetic sample data | Snapshot: 2026-08-13</x:v>
      </x:c>
      <x:c r="D2" s="21" t="str">
        <x:v>Synthetic employee master | Owner: Member 2 | Synthetic sample data | Snapshot: 2026-08-13</x:v>
      </x:c>
      <x:c r="E2" s="21" t="str">
        <x:v>Synthetic employee master | Owner: Member 2 | Synthetic sample data | Snapshot: 2026-08-13</x:v>
      </x:c>
      <x:c r="F2" s="21" t="str">
        <x:v>Synthetic employee master | Owner: Member 2 | Synthetic sample data | Snapshot: 2026-08-13</x:v>
      </x:c>
      <x:c r="G2" s="21" t="str">
        <x:v>Synthetic employee master | Owner: Member 2 | Synthetic sample data | Snapshot: 2026-08-13</x:v>
      </x:c>
      <x:c r="H2" s="21" t="str">
        <x:v>Synthetic employee master | Owner: Member 2 | Synthetic sample data | Snapshot: 2026-08-13</x:v>
      </x:c>
      <x:c r="I2" s="21" t="str">
        <x:v>Synthetic employee master | Owner: Member 2 | Synthetic sample data | Snapshot: 2026-08-13</x:v>
      </x:c>
      <x:c r="J2" s="21" t="str">
        <x:v>Synthetic employee master | Owner: Member 2 | Synthetic sample data | Snapshot: 2026-08-13</x:v>
      </x:c>
      <x:c r="K2" s="21" t="str">
        <x:v>Synthetic employee master | Owner: Member 2 | Synthetic sample data | Snapshot: 2026-08-13</x:v>
      </x:c>
    </x:row>
    <x:row r="4" ht="30" customHeight="1">
      <x:c r="A4" s="26" t="str">
        <x:v>employee_id</x:v>
      </x:c>
      <x:c r="B4" s="26" t="str">
        <x:v>display_name</x:v>
      </x:c>
      <x:c r="C4" s="26" t="str">
        <x:v>department_id</x:v>
      </x:c>
      <x:c r="D4" s="26" t="str">
        <x:v>zone_id</x:v>
      </x:c>
      <x:c r="E4" s="26" t="str">
        <x:v>job_title</x:v>
      </x:c>
      <x:c r="F4" s="26" t="str">
        <x:v>manager_id</x:v>
      </x:c>
      <x:c r="G4" s="26" t="str">
        <x:v>employment_type</x:v>
      </x:c>
      <x:c r="H4" s="26" t="str">
        <x:v>hire_date</x:v>
      </x:c>
      <x:c r="I4" s="26" t="str">
        <x:v>email_alias</x:v>
      </x:c>
      <x:c r="J4" s="26" t="str">
        <x:v>phone_ext</x:v>
      </x:c>
      <x:c r="K4" s="26" t="str">
        <x:v>active_flag</x:v>
      </x:c>
    </x:row>
    <x:row r="5" ht="24" customHeight="1">
      <x:c r="A5" s="31" t="str">
        <x:v>EMP-001</x:v>
      </x:c>
      <x:c r="B5" s="31" t="str">
        <x:v>موظف تجريبي 001</x:v>
      </x:c>
      <x:c r="C5" s="31" t="str">
        <x:v>DEP-PROD-A</x:v>
      </x:c>
      <x:c r="D5" s="31" t="str">
        <x:v>ZN-A1</x:v>
      </x:c>
      <x:c r="E5" s="31" t="str">
        <x:v>Production Manager</x:v>
      </x:c>
      <x:c r="F5" s="31"/>
      <x:c r="G5" s="31" t="str">
        <x:v>FULL_TIME</x:v>
      </x:c>
      <x:c r="H5" s="42" t="n">
        <x:v>43101</x:v>
      </x:c>
      <x:c r="I5" s="31" t="str">
        <x:v>employee001@example.local</x:v>
      </x:c>
      <x:c r="J5" s="31" t="str">
        <x:v>2101</x:v>
      </x:c>
      <x:c r="K5" s="32" t="b">
        <x:v>1</x:v>
      </x:c>
    </x:row>
    <x:row r="6" ht="24" customHeight="1">
      <x:c r="A6" s="33" t="str">
        <x:v>EMP-002</x:v>
      </x:c>
      <x:c r="B6" s="33" t="str">
        <x:v>موظف تجريبي 002</x:v>
      </x:c>
      <x:c r="C6" s="33" t="str">
        <x:v>DEP-PROD-B</x:v>
      </x:c>
      <x:c r="D6" s="33" t="str">
        <x:v>ZN-B1</x:v>
      </x:c>
      <x:c r="E6" s="33" t="str">
        <x:v>Production Manager</x:v>
      </x:c>
      <x:c r="F6" s="33"/>
      <x:c r="G6" s="33" t="str">
        <x:v>FULL_TIME</x:v>
      </x:c>
      <x:c r="H6" s="43" t="n">
        <x:v>43498</x:v>
      </x:c>
      <x:c r="I6" s="33" t="str">
        <x:v>employee002@example.local</x:v>
      </x:c>
      <x:c r="J6" s="33" t="str">
        <x:v>2102</x:v>
      </x:c>
      <x:c r="K6" s="34" t="b">
        <x:v>1</x:v>
      </x:c>
    </x:row>
    <x:row r="7" ht="24" customHeight="1">
      <x:c r="A7" s="33" t="str">
        <x:v>EMP-003</x:v>
      </x:c>
      <x:c r="B7" s="33" t="str">
        <x:v>موظف تجريبي 003</x:v>
      </x:c>
      <x:c r="C7" s="33" t="str">
        <x:v>DEP-MAINT</x:v>
      </x:c>
      <x:c r="D7" s="33" t="str">
        <x:v>ZN-M01</x:v>
      </x:c>
      <x:c r="E7" s="33" t="str">
        <x:v>Maintenance Manager</x:v>
      </x:c>
      <x:c r="F7" s="33"/>
      <x:c r="G7" s="33" t="str">
        <x:v>FULL_TIME</x:v>
      </x:c>
      <x:c r="H7" s="43" t="n">
        <x:v>43893</x:v>
      </x:c>
      <x:c r="I7" s="33" t="str">
        <x:v>employee003@example.local</x:v>
      </x:c>
      <x:c r="J7" s="33" t="str">
        <x:v>2103</x:v>
      </x:c>
      <x:c r="K7" s="34" t="b">
        <x:v>1</x:v>
      </x:c>
    </x:row>
    <x:row r="8" ht="24" customHeight="1">
      <x:c r="A8" s="33" t="str">
        <x:v>EMP-004</x:v>
      </x:c>
      <x:c r="B8" s="33" t="str">
        <x:v>موظف تجريبي 004</x:v>
      </x:c>
      <x:c r="C8" s="33" t="str">
        <x:v>DEP-WH</x:v>
      </x:c>
      <x:c r="D8" s="33" t="str">
        <x:v>ZN-W01</x:v>
      </x:c>
      <x:c r="E8" s="33" t="str">
        <x:v>Warehouse Manager</x:v>
      </x:c>
      <x:c r="F8" s="33"/>
      <x:c r="G8" s="33" t="str">
        <x:v>FULL_TIME</x:v>
      </x:c>
      <x:c r="H8" s="43" t="n">
        <x:v>44290</x:v>
      </x:c>
      <x:c r="I8" s="33" t="str">
        <x:v>employee004@example.local</x:v>
      </x:c>
      <x:c r="J8" s="33" t="str">
        <x:v>2104</x:v>
      </x:c>
      <x:c r="K8" s="34" t="b">
        <x:v>1</x:v>
      </x:c>
    </x:row>
    <x:row r="9" ht="24" customHeight="1">
      <x:c r="A9" s="33" t="str">
        <x:v>EMP-005</x:v>
      </x:c>
      <x:c r="B9" s="33" t="str">
        <x:v>موظف تجريبي 005</x:v>
      </x:c>
      <x:c r="C9" s="33" t="str">
        <x:v>DEP-QC</x:v>
      </x:c>
      <x:c r="D9" s="33" t="str">
        <x:v>ZN-Q01</x:v>
      </x:c>
      <x:c r="E9" s="33" t="str">
        <x:v>Quality Manager</x:v>
      </x:c>
      <x:c r="F9" s="33"/>
      <x:c r="G9" s="33" t="str">
        <x:v>FULL_TIME</x:v>
      </x:c>
      <x:c r="H9" s="43" t="n">
        <x:v>44686</x:v>
      </x:c>
      <x:c r="I9" s="33" t="str">
        <x:v>employee005@example.local</x:v>
      </x:c>
      <x:c r="J9" s="33" t="str">
        <x:v>2105</x:v>
      </x:c>
      <x:c r="K9" s="34" t="b">
        <x:v>1</x:v>
      </x:c>
    </x:row>
    <x:row r="10" ht="24" customHeight="1">
      <x:c r="A10" s="33" t="str">
        <x:v>EMP-006</x:v>
      </x:c>
      <x:c r="B10" s="33" t="str">
        <x:v>موظف تجريبي 006</x:v>
      </x:c>
      <x:c r="C10" s="33" t="str">
        <x:v>DEP-UTIL</x:v>
      </x:c>
      <x:c r="D10" s="33" t="str">
        <x:v>ZN-U01</x:v>
      </x:c>
      <x:c r="E10" s="33" t="str">
        <x:v>Utilities Manager</x:v>
      </x:c>
      <x:c r="F10" s="33"/>
      <x:c r="G10" s="33" t="str">
        <x:v>FULL_TIME</x:v>
      </x:c>
      <x:c r="H10" s="43" t="n">
        <x:v>45083</x:v>
      </x:c>
      <x:c r="I10" s="33" t="str">
        <x:v>employee006@example.local</x:v>
      </x:c>
      <x:c r="J10" s="33" t="str">
        <x:v>2106</x:v>
      </x:c>
      <x:c r="K10" s="34" t="b">
        <x:v>1</x:v>
      </x:c>
    </x:row>
    <x:row r="11" ht="24" customHeight="1">
      <x:c r="A11" s="33" t="str">
        <x:v>EMP-007</x:v>
      </x:c>
      <x:c r="B11" s="33" t="str">
        <x:v>موظف تجريبي 007</x:v>
      </x:c>
      <x:c r="C11" s="33" t="str">
        <x:v>DEP-ADMIN</x:v>
      </x:c>
      <x:c r="D11" s="33" t="str">
        <x:v>ZN-ADM</x:v>
      </x:c>
      <x:c r="E11" s="33" t="str">
        <x:v>Administration Manager</x:v>
      </x:c>
      <x:c r="F11" s="33"/>
      <x:c r="G11" s="33" t="str">
        <x:v>FULL_TIME</x:v>
      </x:c>
      <x:c r="H11" s="43" t="n">
        <x:v>45480</x:v>
      </x:c>
      <x:c r="I11" s="33" t="str">
        <x:v>employee007@example.local</x:v>
      </x:c>
      <x:c r="J11" s="33" t="str">
        <x:v>2107</x:v>
      </x:c>
      <x:c r="K11" s="34" t="b">
        <x:v>1</x:v>
      </x:c>
    </x:row>
    <x:row r="12" ht="24" customHeight="1">
      <x:c r="A12" s="33" t="str">
        <x:v>EMP-008</x:v>
      </x:c>
      <x:c r="B12" s="33" t="str">
        <x:v>موظف تجريبي 008</x:v>
      </x:c>
      <x:c r="C12" s="33" t="str">
        <x:v>DEP-HSE</x:v>
      </x:c>
      <x:c r="D12" s="33" t="str">
        <x:v>ZN-HSE</x:v>
      </x:c>
      <x:c r="E12" s="33" t="str">
        <x:v>HSE Manager</x:v>
      </x:c>
      <x:c r="F12" s="33"/>
      <x:c r="G12" s="33" t="str">
        <x:v>FULL_TIME</x:v>
      </x:c>
      <x:c r="H12" s="43" t="n">
        <x:v>43320</x:v>
      </x:c>
      <x:c r="I12" s="33" t="str">
        <x:v>employee008@example.local</x:v>
      </x:c>
      <x:c r="J12" s="33" t="str">
        <x:v>2108</x:v>
      </x:c>
      <x:c r="K12" s="34" t="b">
        <x:v>1</x:v>
      </x:c>
    </x:row>
    <x:row r="13" ht="24" customHeight="1">
      <x:c r="A13" s="33" t="str">
        <x:v>EMP-009</x:v>
      </x:c>
      <x:c r="B13" s="33" t="str">
        <x:v>طبيب تجريبي 009</x:v>
      </x:c>
      <x:c r="C13" s="33" t="str">
        <x:v>DEP-CLINIC</x:v>
      </x:c>
      <x:c r="D13" s="33" t="str">
        <x:v>ZN-CLN</x:v>
      </x:c>
      <x:c r="E13" s="33" t="str">
        <x:v>Occupational Physician</x:v>
      </x:c>
      <x:c r="F13" s="33"/>
      <x:c r="G13" s="33" t="str">
        <x:v>FULL_TIME</x:v>
      </x:c>
      <x:c r="H13" s="43" t="n">
        <x:v>43717</x:v>
      </x:c>
      <x:c r="I13" s="33" t="str">
        <x:v>employee009@example.local</x:v>
      </x:c>
      <x:c r="J13" s="33" t="str">
        <x:v>2109</x:v>
      </x:c>
      <x:c r="K13" s="34" t="b">
        <x:v>1</x:v>
      </x:c>
    </x:row>
    <x:row r="14" ht="24" customHeight="1">
      <x:c r="A14" s="33" t="str">
        <x:v>EMP-010</x:v>
      </x:c>
      <x:c r="B14" s="33" t="str">
        <x:v>موظف تجريبي 010</x:v>
      </x:c>
      <x:c r="C14" s="33" t="str">
        <x:v>DEP-HSE</x:v>
      </x:c>
      <x:c r="D14" s="33" t="str">
        <x:v>ZN-HSE</x:v>
      </x:c>
      <x:c r="E14" s="33" t="str">
        <x:v>HSE Officer</x:v>
      </x:c>
      <x:c r="F14" s="33" t="str">
        <x:v>EMP-008</x:v>
      </x:c>
      <x:c r="G14" s="33" t="str">
        <x:v>FULL_TIME</x:v>
      </x:c>
      <x:c r="H14" s="43" t="n">
        <x:v>44114</x:v>
      </x:c>
      <x:c r="I14" s="33" t="str">
        <x:v>employee010@example.local</x:v>
      </x:c>
      <x:c r="J14" s="33" t="str">
        <x:v>2110</x:v>
      </x:c>
      <x:c r="K14" s="34" t="b">
        <x:v>1</x:v>
      </x:c>
    </x:row>
    <x:row r="15" ht="24" customHeight="1">
      <x:c r="A15" s="33" t="str">
        <x:v>EMP-011</x:v>
      </x:c>
      <x:c r="B15" s="33" t="str">
        <x:v>موظف تجريبي 011</x:v>
      </x:c>
      <x:c r="C15" s="33" t="str">
        <x:v>DEP-HSE</x:v>
      </x:c>
      <x:c r="D15" s="33" t="str">
        <x:v>ZN-HSE</x:v>
      </x:c>
      <x:c r="E15" s="33" t="str">
        <x:v>HSE Officer</x:v>
      </x:c>
      <x:c r="F15" s="33" t="str">
        <x:v>EMP-008</x:v>
      </x:c>
      <x:c r="G15" s="33" t="str">
        <x:v>FULL_TIME</x:v>
      </x:c>
      <x:c r="H15" s="43" t="n">
        <x:v>44511</x:v>
      </x:c>
      <x:c r="I15" s="33" t="str">
        <x:v>employee011@example.local</x:v>
      </x:c>
      <x:c r="J15" s="33" t="str">
        <x:v>2111</x:v>
      </x:c>
      <x:c r="K15" s="34" t="b">
        <x:v>1</x:v>
      </x:c>
    </x:row>
    <x:row r="16" ht="24" customHeight="1">
      <x:c r="A16" s="33" t="str">
        <x:v>EMP-012</x:v>
      </x:c>
      <x:c r="B16" s="33" t="str">
        <x:v>موظف تجريبي 012</x:v>
      </x:c>
      <x:c r="C16" s="33" t="str">
        <x:v>DEP-HSE</x:v>
      </x:c>
      <x:c r="D16" s="33" t="str">
        <x:v>ZN-HSE</x:v>
      </x:c>
      <x:c r="E16" s="33" t="str">
        <x:v>HSE Officer</x:v>
      </x:c>
      <x:c r="F16" s="33" t="str">
        <x:v>EMP-008</x:v>
      </x:c>
      <x:c r="G16" s="33" t="str">
        <x:v>FULL_TIME</x:v>
      </x:c>
      <x:c r="H16" s="43" t="n">
        <x:v>44907</x:v>
      </x:c>
      <x:c r="I16" s="33" t="str">
        <x:v>employee012@example.local</x:v>
      </x:c>
      <x:c r="J16" s="33" t="str">
        <x:v>2112</x:v>
      </x:c>
      <x:c r="K16" s="34" t="b">
        <x:v>1</x:v>
      </x:c>
    </x:row>
    <x:row r="17" ht="24" customHeight="1">
      <x:c r="A17" s="33" t="str">
        <x:v>EMP-013</x:v>
      </x:c>
      <x:c r="B17" s="33" t="str">
        <x:v>موظف تجريبي 013</x:v>
      </x:c>
      <x:c r="C17" s="33" t="str">
        <x:v>DEP-PROD-A</x:v>
      </x:c>
      <x:c r="D17" s="33" t="str">
        <x:v>ZN-A1</x:v>
      </x:c>
      <x:c r="E17" s="33" t="str">
        <x:v>Shift Supervisor</x:v>
      </x:c>
      <x:c r="F17" s="33" t="str">
        <x:v>EMP-001</x:v>
      </x:c>
      <x:c r="G17" s="33" t="str">
        <x:v>FULL_TIME</x:v>
      </x:c>
      <x:c r="H17" s="43" t="n">
        <x:v>44939</x:v>
      </x:c>
      <x:c r="I17" s="33" t="str">
        <x:v>employee013@example.local</x:v>
      </x:c>
      <x:c r="J17" s="33" t="str">
        <x:v>2113</x:v>
      </x:c>
      <x:c r="K17" s="34" t="b">
        <x:v>1</x:v>
      </x:c>
    </x:row>
    <x:row r="18" ht="24" customHeight="1">
      <x:c r="A18" s="33" t="str">
        <x:v>EMP-014</x:v>
      </x:c>
      <x:c r="B18" s="33" t="str">
        <x:v>موظف تجريبي 014</x:v>
      </x:c>
      <x:c r="C18" s="33" t="str">
        <x:v>DEP-PROD-B</x:v>
      </x:c>
      <x:c r="D18" s="33" t="str">
        <x:v>ZN-B1</x:v>
      </x:c>
      <x:c r="E18" s="33" t="str">
        <x:v>Shift Supervisor</x:v>
      </x:c>
      <x:c r="F18" s="33" t="str">
        <x:v>EMP-002</x:v>
      </x:c>
      <x:c r="G18" s="33" t="str">
        <x:v>FULL_TIME</x:v>
      </x:c>
      <x:c r="H18" s="43" t="n">
        <x:v>45336</x:v>
      </x:c>
      <x:c r="I18" s="33" t="str">
        <x:v>employee014@example.local</x:v>
      </x:c>
      <x:c r="J18" s="33" t="str">
        <x:v>2114</x:v>
      </x:c>
      <x:c r="K18" s="34" t="b">
        <x:v>1</x:v>
      </x:c>
    </x:row>
    <x:row r="19" ht="24" customHeight="1">
      <x:c r="A19" s="33" t="str">
        <x:v>EMP-015</x:v>
      </x:c>
      <x:c r="B19" s="33" t="str">
        <x:v>موظف تجريبي 015</x:v>
      </x:c>
      <x:c r="C19" s="33" t="str">
        <x:v>DEP-MAINT</x:v>
      </x:c>
      <x:c r="D19" s="33" t="str">
        <x:v>ZN-M01</x:v>
      </x:c>
      <x:c r="E19" s="33" t="str">
        <x:v>Maintenance Supervisor</x:v>
      </x:c>
      <x:c r="F19" s="33" t="str">
        <x:v>EMP-003</x:v>
      </x:c>
      <x:c r="G19" s="33" t="str">
        <x:v>FULL_TIME</x:v>
      </x:c>
      <x:c r="H19" s="43" t="n">
        <x:v>43174</x:v>
      </x:c>
      <x:c r="I19" s="33" t="str">
        <x:v>employee015@example.local</x:v>
      </x:c>
      <x:c r="J19" s="33" t="str">
        <x:v>2115</x:v>
      </x:c>
      <x:c r="K19" s="34" t="b">
        <x:v>1</x:v>
      </x:c>
    </x:row>
    <x:row r="20" ht="24" customHeight="1">
      <x:c r="A20" s="33" t="str">
        <x:v>EMP-016</x:v>
      </x:c>
      <x:c r="B20" s="33" t="str">
        <x:v>موظف تجريبي 016</x:v>
      </x:c>
      <x:c r="C20" s="33" t="str">
        <x:v>DEP-WH</x:v>
      </x:c>
      <x:c r="D20" s="33" t="str">
        <x:v>ZN-W01</x:v>
      </x:c>
      <x:c r="E20" s="33" t="str">
        <x:v>Warehouse Supervisor</x:v>
      </x:c>
      <x:c r="F20" s="33" t="str">
        <x:v>EMP-004</x:v>
      </x:c>
      <x:c r="G20" s="33" t="str">
        <x:v>FULL_TIME</x:v>
      </x:c>
      <x:c r="H20" s="43" t="n">
        <x:v>43571</x:v>
      </x:c>
      <x:c r="I20" s="33" t="str">
        <x:v>employee016@example.local</x:v>
      </x:c>
      <x:c r="J20" s="33" t="str">
        <x:v>2116</x:v>
      </x:c>
      <x:c r="K20" s="34" t="b">
        <x:v>1</x:v>
      </x:c>
    </x:row>
    <x:row r="21" ht="24" customHeight="1">
      <x:c r="A21" s="33" t="str">
        <x:v>EMP-017</x:v>
      </x:c>
      <x:c r="B21" s="33" t="str">
        <x:v>موظف تجريبي 017</x:v>
      </x:c>
      <x:c r="C21" s="33" t="str">
        <x:v>DEP-PROD-A</x:v>
      </x:c>
      <x:c r="D21" s="33" t="str">
        <x:v>ZN-A1</x:v>
      </x:c>
      <x:c r="E21" s="33" t="str">
        <x:v>Machine Operator</x:v>
      </x:c>
      <x:c r="F21" s="33" t="str">
        <x:v>EMP-013</x:v>
      </x:c>
      <x:c r="G21" s="33" t="str">
        <x:v>FULL_TIME</x:v>
      </x:c>
      <x:c r="H21" s="43" t="n">
        <x:v>43968</x:v>
      </x:c>
      <x:c r="I21" s="33" t="str">
        <x:v>employee017@example.local</x:v>
      </x:c>
      <x:c r="J21" s="33" t="str">
        <x:v>2117</x:v>
      </x:c>
      <x:c r="K21" s="34" t="b">
        <x:v>1</x:v>
      </x:c>
    </x:row>
    <x:row r="22" ht="24" customHeight="1">
      <x:c r="A22" s="33" t="str">
        <x:v>EMP-018</x:v>
      </x:c>
      <x:c r="B22" s="33" t="str">
        <x:v>موظف تجريبي 018</x:v>
      </x:c>
      <x:c r="C22" s="33" t="str">
        <x:v>DEP-PROD-A</x:v>
      </x:c>
      <x:c r="D22" s="33" t="str">
        <x:v>ZN-A2</x:v>
      </x:c>
      <x:c r="E22" s="33" t="str">
        <x:v>Machine Operator</x:v>
      </x:c>
      <x:c r="F22" s="33" t="str">
        <x:v>EMP-013</x:v>
      </x:c>
      <x:c r="G22" s="33" t="str">
        <x:v>FULL_TIME</x:v>
      </x:c>
      <x:c r="H22" s="43" t="n">
        <x:v>44365</x:v>
      </x:c>
      <x:c r="I22" s="33" t="str">
        <x:v>employee018@example.local</x:v>
      </x:c>
      <x:c r="J22" s="33" t="str">
        <x:v>2118</x:v>
      </x:c>
      <x:c r="K22" s="34" t="b">
        <x:v>1</x:v>
      </x:c>
    </x:row>
    <x:row r="23" ht="24" customHeight="1">
      <x:c r="A23" s="33" t="str">
        <x:v>EMP-019</x:v>
      </x:c>
      <x:c r="B23" s="33" t="str">
        <x:v>موظف تجريبي 019</x:v>
      </x:c>
      <x:c r="C23" s="33" t="str">
        <x:v>DEP-PROD-B</x:v>
      </x:c>
      <x:c r="D23" s="33" t="str">
        <x:v>ZN-B1</x:v>
      </x:c>
      <x:c r="E23" s="33" t="str">
        <x:v>Machine Operator</x:v>
      </x:c>
      <x:c r="F23" s="33" t="str">
        <x:v>EMP-014</x:v>
      </x:c>
      <x:c r="G23" s="33" t="str">
        <x:v>FULL_TIME</x:v>
      </x:c>
      <x:c r="H23" s="43" t="n">
        <x:v>44761</x:v>
      </x:c>
      <x:c r="I23" s="33" t="str">
        <x:v>employee019@example.local</x:v>
      </x:c>
      <x:c r="J23" s="33" t="str">
        <x:v>2119</x:v>
      </x:c>
      <x:c r="K23" s="34" t="b">
        <x:v>1</x:v>
      </x:c>
    </x:row>
    <x:row r="24" ht="24" customHeight="1">
      <x:c r="A24" s="33" t="str">
        <x:v>EMP-020</x:v>
      </x:c>
      <x:c r="B24" s="33" t="str">
        <x:v>موظف تجريبي 020</x:v>
      </x:c>
      <x:c r="C24" s="33" t="str">
        <x:v>DEP-PROD-B</x:v>
      </x:c>
      <x:c r="D24" s="33" t="str">
        <x:v>ZN-B2</x:v>
      </x:c>
      <x:c r="E24" s="33" t="str">
        <x:v>Packing Operator</x:v>
      </x:c>
      <x:c r="F24" s="33" t="str">
        <x:v>EMP-014</x:v>
      </x:c>
      <x:c r="G24" s="33" t="str">
        <x:v>FULL_TIME</x:v>
      </x:c>
      <x:c r="H24" s="43" t="n">
        <x:v>45158</x:v>
      </x:c>
      <x:c r="I24" s="33" t="str">
        <x:v>employee020@example.local</x:v>
      </x:c>
      <x:c r="J24" s="33" t="str">
        <x:v>2120</x:v>
      </x:c>
      <x:c r="K24" s="34" t="b">
        <x:v>1</x:v>
      </x:c>
    </x:row>
    <x:row r="25" ht="24" customHeight="1">
      <x:c r="A25" s="33" t="str">
        <x:v>EMP-021</x:v>
      </x:c>
      <x:c r="B25" s="33" t="str">
        <x:v>موظف تجريبي 021</x:v>
      </x:c>
      <x:c r="C25" s="33" t="str">
        <x:v>DEP-MAINT</x:v>
      </x:c>
      <x:c r="D25" s="33" t="str">
        <x:v>ZN-M01</x:v>
      </x:c>
      <x:c r="E25" s="33" t="str">
        <x:v>Mechanical Technician</x:v>
      </x:c>
      <x:c r="F25" s="33" t="str">
        <x:v>EMP-015</x:v>
      </x:c>
      <x:c r="G25" s="33" t="str">
        <x:v>FULL_TIME</x:v>
      </x:c>
      <x:c r="H25" s="43" t="n">
        <x:v>45556</x:v>
      </x:c>
      <x:c r="I25" s="33" t="str">
        <x:v>employee021@example.local</x:v>
      </x:c>
      <x:c r="J25" s="33" t="str">
        <x:v>2121</x:v>
      </x:c>
      <x:c r="K25" s="34" t="b">
        <x:v>1</x:v>
      </x:c>
    </x:row>
    <x:row r="26" ht="24" customHeight="1">
      <x:c r="A26" s="33" t="str">
        <x:v>EMP-022</x:v>
      </x:c>
      <x:c r="B26" s="33" t="str">
        <x:v>موظف تجريبي 022</x:v>
      </x:c>
      <x:c r="C26" s="33" t="str">
        <x:v>DEP-MAINT</x:v>
      </x:c>
      <x:c r="D26" s="33" t="str">
        <x:v>ZN-M01</x:v>
      </x:c>
      <x:c r="E26" s="33" t="str">
        <x:v>Electrical Technician</x:v>
      </x:c>
      <x:c r="F26" s="33" t="str">
        <x:v>EMP-015</x:v>
      </x:c>
      <x:c r="G26" s="33" t="str">
        <x:v>FULL_TIME</x:v>
      </x:c>
      <x:c r="H26" s="43" t="n">
        <x:v>43395</x:v>
      </x:c>
      <x:c r="I26" s="33" t="str">
        <x:v>employee022@example.local</x:v>
      </x:c>
      <x:c r="J26" s="33" t="str">
        <x:v>2122</x:v>
      </x:c>
      <x:c r="K26" s="34" t="b">
        <x:v>1</x:v>
      </x:c>
    </x:row>
    <x:row r="27" ht="24" customHeight="1">
      <x:c r="A27" s="33" t="str">
        <x:v>EMP-023</x:v>
      </x:c>
      <x:c r="B27" s="33" t="str">
        <x:v>موظف تجريبي 023</x:v>
      </x:c>
      <x:c r="C27" s="33" t="str">
        <x:v>DEP-WH</x:v>
      </x:c>
      <x:c r="D27" s="33" t="str">
        <x:v>ZN-W01</x:v>
      </x:c>
      <x:c r="E27" s="33" t="str">
        <x:v>Forklift Operator</x:v>
      </x:c>
      <x:c r="F27" s="33" t="str">
        <x:v>EMP-016</x:v>
      </x:c>
      <x:c r="G27" s="33" t="str">
        <x:v>FULL_TIME</x:v>
      </x:c>
      <x:c r="H27" s="43" t="n">
        <x:v>43792</x:v>
      </x:c>
      <x:c r="I27" s="33" t="str">
        <x:v>employee023@example.local</x:v>
      </x:c>
      <x:c r="J27" s="33" t="str">
        <x:v>2123</x:v>
      </x:c>
      <x:c r="K27" s="34" t="b">
        <x:v>1</x:v>
      </x:c>
    </x:row>
    <x:row r="28" ht="24" customHeight="1">
      <x:c r="A28" s="33" t="str">
        <x:v>EMP-024</x:v>
      </x:c>
      <x:c r="B28" s="33" t="str">
        <x:v>موظف تجريبي 024</x:v>
      </x:c>
      <x:c r="C28" s="33" t="str">
        <x:v>DEP-WH</x:v>
      </x:c>
      <x:c r="D28" s="33" t="str">
        <x:v>ZN-W02</x:v>
      </x:c>
      <x:c r="E28" s="33" t="str">
        <x:v>Storekeeper</x:v>
      </x:c>
      <x:c r="F28" s="33" t="str">
        <x:v>EMP-016</x:v>
      </x:c>
      <x:c r="G28" s="33" t="str">
        <x:v>FULL_TIME</x:v>
      </x:c>
      <x:c r="H28" s="43" t="n">
        <x:v>44189</x:v>
      </x:c>
      <x:c r="I28" s="33" t="str">
        <x:v>employee024@example.local</x:v>
      </x:c>
      <x:c r="J28" s="33" t="str">
        <x:v>2124</x:v>
      </x:c>
      <x:c r="K28" s="34" t="b">
        <x:v>1</x:v>
      </x:c>
    </x:row>
    <x:row r="29" ht="24" customHeight="1">
      <x:c r="A29" s="33" t="str">
        <x:v>EMP-025</x:v>
      </x:c>
      <x:c r="B29" s="33" t="str">
        <x:v>موظف تجريبي 025</x:v>
      </x:c>
      <x:c r="C29" s="33" t="str">
        <x:v>DEP-QC</x:v>
      </x:c>
      <x:c r="D29" s="33" t="str">
        <x:v>ZN-Q01</x:v>
      </x:c>
      <x:c r="E29" s="33" t="str">
        <x:v>Lab Technician</x:v>
      </x:c>
      <x:c r="F29" s="33" t="str">
        <x:v>EMP-005</x:v>
      </x:c>
      <x:c r="G29" s="33" t="str">
        <x:v>FULL_TIME</x:v>
      </x:c>
      <x:c r="H29" s="43" t="n">
        <x:v>44197</x:v>
      </x:c>
      <x:c r="I29" s="33" t="str">
        <x:v>employee025@example.local</x:v>
      </x:c>
      <x:c r="J29" s="33" t="str">
        <x:v>2125</x:v>
      </x:c>
      <x:c r="K29" s="34" t="b">
        <x:v>1</x:v>
      </x:c>
    </x:row>
    <x:row r="30" ht="24" customHeight="1">
      <x:c r="A30" s="33" t="str">
        <x:v>EMP-026</x:v>
      </x:c>
      <x:c r="B30" s="33" t="str">
        <x:v>موظف تجريبي 026</x:v>
      </x:c>
      <x:c r="C30" s="33" t="str">
        <x:v>DEP-UTIL</x:v>
      </x:c>
      <x:c r="D30" s="33" t="str">
        <x:v>ZN-U01</x:v>
      </x:c>
      <x:c r="E30" s="33" t="str">
        <x:v>MV Electrician</x:v>
      </x:c>
      <x:c r="F30" s="33" t="str">
        <x:v>EMP-006</x:v>
      </x:c>
      <x:c r="G30" s="33" t="str">
        <x:v>FULL_TIME</x:v>
      </x:c>
      <x:c r="H30" s="43" t="n">
        <x:v>44594</x:v>
      </x:c>
      <x:c r="I30" s="33" t="str">
        <x:v>employee026@example.local</x:v>
      </x:c>
      <x:c r="J30" s="33" t="str">
        <x:v>2126</x:v>
      </x:c>
      <x:c r="K30" s="34" t="b">
        <x:v>1</x:v>
      </x:c>
    </x:row>
    <x:row r="31" ht="24" customHeight="1">
      <x:c r="A31" s="33" t="str">
        <x:v>EMP-027</x:v>
      </x:c>
      <x:c r="B31" s="33" t="str">
        <x:v>موظف تجريبي 027</x:v>
      </x:c>
      <x:c r="C31" s="33" t="str">
        <x:v>DEP-UTIL</x:v>
      </x:c>
      <x:c r="D31" s="33" t="str">
        <x:v>ZN-U02</x:v>
      </x:c>
      <x:c r="E31" s="33" t="str">
        <x:v>Utilities Technician</x:v>
      </x:c>
      <x:c r="F31" s="33" t="str">
        <x:v>EMP-006</x:v>
      </x:c>
      <x:c r="G31" s="33" t="str">
        <x:v>FULL_TIME</x:v>
      </x:c>
      <x:c r="H31" s="43" t="n">
        <x:v>44988</x:v>
      </x:c>
      <x:c r="I31" s="33" t="str">
        <x:v>employee027@example.local</x:v>
      </x:c>
      <x:c r="J31" s="33" t="str">
        <x:v>2127</x:v>
      </x:c>
      <x:c r="K31" s="34" t="b">
        <x:v>1</x:v>
      </x:c>
    </x:row>
    <x:row r="32" ht="24" customHeight="1">
      <x:c r="A32" s="33" t="str">
        <x:v>EMP-028</x:v>
      </x:c>
      <x:c r="B32" s="33" t="str">
        <x:v>موظف تجريبي 028</x:v>
      </x:c>
      <x:c r="C32" s="33" t="str">
        <x:v>DEP-ADMIN</x:v>
      </x:c>
      <x:c r="D32" s="33" t="str">
        <x:v>ZN-ADM</x:v>
      </x:c>
      <x:c r="E32" s="33" t="str">
        <x:v>HR Specialist</x:v>
      </x:c>
      <x:c r="F32" s="33" t="str">
        <x:v>EMP-007</x:v>
      </x:c>
      <x:c r="G32" s="33" t="str">
        <x:v>FULL_TIME</x:v>
      </x:c>
      <x:c r="H32" s="43" t="n">
        <x:v>45386</x:v>
      </x:c>
      <x:c r="I32" s="33" t="str">
        <x:v>employee028@example.local</x:v>
      </x:c>
      <x:c r="J32" s="33" t="str">
        <x:v>2128</x:v>
      </x:c>
      <x:c r="K32" s="34" t="b">
        <x:v>1</x:v>
      </x:c>
    </x:row>
    <x:row r="33" ht="24" customHeight="1">
      <x:c r="A33" s="33" t="str">
        <x:v>EMP-029</x:v>
      </x:c>
      <x:c r="B33" s="33" t="str">
        <x:v>مقاول تجريبي 029</x:v>
      </x:c>
      <x:c r="C33" s="33" t="str">
        <x:v>DEP-MAINT</x:v>
      </x:c>
      <x:c r="D33" s="33" t="str">
        <x:v>ZN-M01</x:v>
      </x:c>
      <x:c r="E33" s="33" t="str">
        <x:v>External Welder</x:v>
      </x:c>
      <x:c r="F33" s="33" t="str">
        <x:v>EMP-015</x:v>
      </x:c>
      <x:c r="G33" s="33" t="str">
        <x:v>CONTRACTOR</x:v>
      </x:c>
      <x:c r="H33" s="43" t="n">
        <x:v>43225</x:v>
      </x:c>
      <x:c r="I33" s="33" t="str">
        <x:v>employee029@example.local</x:v>
      </x:c>
      <x:c r="J33" s="33" t="str">
        <x:v>2129</x:v>
      </x:c>
      <x:c r="K33" s="34" t="b">
        <x:v>1</x:v>
      </x:c>
    </x:row>
    <x:row r="34" ht="24" customHeight="1">
      <x:c r="A34" s="33" t="str">
        <x:v>EMP-030</x:v>
      </x:c>
      <x:c r="B34" s="33" t="str">
        <x:v>مدقق تجريبي 030</x:v>
      </x:c>
      <x:c r="C34" s="33" t="str">
        <x:v>DEP-HSE</x:v>
      </x:c>
      <x:c r="D34" s="33" t="str">
        <x:v>ZN-HSE</x:v>
      </x:c>
      <x:c r="E34" s="33" t="str">
        <x:v>External Auditor</x:v>
      </x:c>
      <x:c r="F34" s="33" t="str">
        <x:v>EMP-008</x:v>
      </x:c>
      <x:c r="G34" s="33" t="str">
        <x:v>CONTRACTOR</x:v>
      </x:c>
      <x:c r="H34" s="43" t="n">
        <x:v>43622</x:v>
      </x:c>
      <x:c r="I34" s="33" t="str">
        <x:v>employee030@example.local</x:v>
      </x:c>
      <x:c r="J34" s="33" t="str">
        <x:v>2130</x:v>
      </x:c>
      <x:c r="K34" s="34" t="b">
        <x:v>1</x:v>
      </x:c>
    </x:row>
    <x:row r="35" ht="24" customHeight="1">
      <x:c r="A35" s="33" t="str">
        <x:v>EMP-031</x:v>
      </x:c>
      <x:c r="B35" s="33" t="str">
        <x:v>موظف تجريبي 031</x:v>
      </x:c>
      <x:c r="C35" s="33" t="str">
        <x:v>DEP-PROD-A</x:v>
      </x:c>
      <x:c r="D35" s="33" t="str">
        <x:v>ZN-A1</x:v>
      </x:c>
      <x:c r="E35" s="33" t="str">
        <x:v>Machine Operator</x:v>
      </x:c>
      <x:c r="F35" s="33" t="str">
        <x:v>EMP-013</x:v>
      </x:c>
      <x:c r="G35" s="33" t="str">
        <x:v>FULL_TIME</x:v>
      </x:c>
      <x:c r="H35" s="43" t="n">
        <x:v>44019</x:v>
      </x:c>
      <x:c r="I35" s="33" t="str">
        <x:v>employee031@example.local</x:v>
      </x:c>
      <x:c r="J35" s="33" t="str">
        <x:v>2131</x:v>
      </x:c>
      <x:c r="K35" s="34" t="b">
        <x:v>1</x:v>
      </x:c>
    </x:row>
    <x:row r="36" ht="24" customHeight="1">
      <x:c r="A36" s="33" t="str">
        <x:v>EMP-032</x:v>
      </x:c>
      <x:c r="B36" s="33" t="str">
        <x:v>موظف تجريبي 032</x:v>
      </x:c>
      <x:c r="C36" s="33" t="str">
        <x:v>DEP-MAINT</x:v>
      </x:c>
      <x:c r="D36" s="33" t="str">
        <x:v>ZN-M01</x:v>
      </x:c>
      <x:c r="E36" s="33" t="str">
        <x:v>Mechanical Technician</x:v>
      </x:c>
      <x:c r="F36" s="33" t="str">
        <x:v>EMP-015</x:v>
      </x:c>
      <x:c r="G36" s="33" t="str">
        <x:v>FULL_TIME</x:v>
      </x:c>
      <x:c r="H36" s="43" t="n">
        <x:v>44416</x:v>
      </x:c>
      <x:c r="I36" s="33" t="str">
        <x:v>employee032@example.local</x:v>
      </x:c>
      <x:c r="J36" s="33" t="str">
        <x:v>2132</x:v>
      </x:c>
      <x:c r="K36" s="34" t="b">
        <x:v>1</x:v>
      </x:c>
    </x:row>
    <x:row r="37" ht="24" customHeight="1">
      <x:c r="A37" s="33" t="str">
        <x:v>EMP-033</x:v>
      </x:c>
      <x:c r="B37" s="33" t="str">
        <x:v>موظف تجريبي 033</x:v>
      </x:c>
      <x:c r="C37" s="33" t="str">
        <x:v>DEP-WH</x:v>
      </x:c>
      <x:c r="D37" s="33" t="str">
        <x:v>ZN-W01</x:v>
      </x:c>
      <x:c r="E37" s="33" t="str">
        <x:v>Warehouse Worker</x:v>
      </x:c>
      <x:c r="F37" s="33" t="str">
        <x:v>EMP-016</x:v>
      </x:c>
      <x:c r="G37" s="33" t="str">
        <x:v>FULL_TIME</x:v>
      </x:c>
      <x:c r="H37" s="43" t="n">
        <x:v>44813</x:v>
      </x:c>
      <x:c r="I37" s="33" t="str">
        <x:v>employee033@example.local</x:v>
      </x:c>
      <x:c r="J37" s="33" t="str">
        <x:v>2133</x:v>
      </x:c>
      <x:c r="K37" s="34" t="b">
        <x:v>1</x:v>
      </x:c>
    </x:row>
    <x:row r="38" ht="24" customHeight="1">
      <x:c r="A38" s="33" t="str">
        <x:v>EMP-034</x:v>
      </x:c>
      <x:c r="B38" s="33" t="str">
        <x:v>موظف تجريبي 034</x:v>
      </x:c>
      <x:c r="C38" s="33" t="str">
        <x:v>DEP-QC</x:v>
      </x:c>
      <x:c r="D38" s="33" t="str">
        <x:v>ZN-Q01</x:v>
      </x:c>
      <x:c r="E38" s="33" t="str">
        <x:v>Chemist</x:v>
      </x:c>
      <x:c r="F38" s="33" t="str">
        <x:v>EMP-005</x:v>
      </x:c>
      <x:c r="G38" s="33" t="str">
        <x:v>FULL_TIME</x:v>
      </x:c>
      <x:c r="H38" s="43" t="n">
        <x:v>45209</x:v>
      </x:c>
      <x:c r="I38" s="33" t="str">
        <x:v>employee034@example.local</x:v>
      </x:c>
      <x:c r="J38" s="33" t="str">
        <x:v>2134</x:v>
      </x:c>
      <x:c r="K38" s="34" t="b">
        <x:v>1</x:v>
      </x:c>
    </x:row>
    <x:row r="39" ht="24" customHeight="1">
      <x:c r="A39" s="33" t="str">
        <x:v>EMP-035</x:v>
      </x:c>
      <x:c r="B39" s="33" t="str">
        <x:v>موظف تجريبي 035</x:v>
      </x:c>
      <x:c r="C39" s="33" t="str">
        <x:v>DEP-PROD-B</x:v>
      </x:c>
      <x:c r="D39" s="33" t="str">
        <x:v>ZN-B1</x:v>
      </x:c>
      <x:c r="E39" s="33" t="str">
        <x:v>Machine Operator</x:v>
      </x:c>
      <x:c r="F39" s="33" t="str">
        <x:v>EMP-014</x:v>
      </x:c>
      <x:c r="G39" s="33" t="str">
        <x:v>FULL_TIME</x:v>
      </x:c>
      <x:c r="H39" s="43" t="n">
        <x:v>45607</x:v>
      </x:c>
      <x:c r="I39" s="33" t="str">
        <x:v>employee035@example.local</x:v>
      </x:c>
      <x:c r="J39" s="33" t="str">
        <x:v>2135</x:v>
      </x:c>
      <x:c r="K39" s="34" t="b">
        <x:v>0</x:v>
      </x:c>
    </x:row>
    <x:row r="40" ht="24" customHeight="1">
      <x:c r="A40" s="35" t="str">
        <x:v>EMP-036</x:v>
      </x:c>
      <x:c r="B40" s="35" t="str">
        <x:v>موظف تجريبي 036</x:v>
      </x:c>
      <x:c r="C40" s="35" t="str">
        <x:v>DEP-ADMIN</x:v>
      </x:c>
      <x:c r="D40" s="35" t="str">
        <x:v>ZN-ADM</x:v>
      </x:c>
      <x:c r="E40" s="35" t="str">
        <x:v>Training Coordinator</x:v>
      </x:c>
      <x:c r="F40" s="35" t="str">
        <x:v>EMP-007</x:v>
      </x:c>
      <x:c r="G40" s="35" t="str">
        <x:v>FULL_TIME</x:v>
      </x:c>
      <x:c r="H40" s="44" t="n">
        <x:v>43446</x:v>
      </x:c>
      <x:c r="I40" s="35" t="str">
        <x:v>employee036@example.local</x:v>
      </x:c>
      <x:c r="J40" s="35" t="str">
        <x:v>2136</x:v>
      </x:c>
      <x:c r="K40" s="36" t="b">
        <x:v>1</x:v>
      </x:c>
    </x:row>
  </x:sheetData>
  <x:mergeCells>
    <x:mergeCell ref="A1:K1"/>
    <x:mergeCell ref="A2:K2"/>
  </x:mergeCells>
  <x:conditionalFormatting sqref="K5:K40">
    <x:cfRule type="containsText" dxfId="66" priority="1" operator="containsText" text="CRITICAL"/>
    <x:cfRule type="containsText" dxfId="67" priority="2" operator="containsText" text="EXPIRED"/>
    <x:cfRule type="containsText" dxfId="68" priority="3" operator="containsText" text="FAILED"/>
    <x:cfRule type="containsText" dxfId="69" priority="4" operator="containsText" text="OVERDUE"/>
    <x:cfRule type="containsText" dxfId="70" priority="5" operator="containsText" text="REJECTED"/>
    <x:cfRule type="containsText" dxfId="71" priority="6" operator="containsText" text="OUT_OF_SERVICE"/>
    <x:cfRule type="containsText" dxfId="72" priority="7" operator="containsText" text="BELOW_THRESHOLD"/>
    <x:cfRule type="containsText" dxfId="73" priority="8" operator="containsText" text="HIGH"/>
    <x:cfRule type="containsText" dxfId="74" priority="9" operator="containsText" text="WARNING"/>
    <x:cfRule type="containsText" dxfId="75" priority="10" operator="containsText" text="DUE_SOON"/>
    <x:cfRule type="containsText" dxfId="76" priority="11" operator="containsText" text="OPEN"/>
    <x:cfRule type="containsText" dxfId="77" priority="12" operator="containsText" text="PENDING"/>
    <x:cfRule type="containsText" dxfId="78" priority="13" operator="containsText" text="SUSPENDED"/>
    <x:cfRule type="containsText" dxfId="79" priority="14" operator="containsText" text="TESTING"/>
    <x:cfRule type="containsText" dxfId="80" priority="15" operator="containsText" text="PARTIAL_FAILURE"/>
    <x:cfRule type="containsText" dxfId="81" priority="16" operator="containsText" text="LOW_STOCK"/>
    <x:cfRule type="containsText" dxfId="82" priority="17" operator="containsText" text="ACTIVE"/>
    <x:cfRule type="containsText" dxfId="83" priority="18" operator="containsText" text="VALID"/>
    <x:cfRule type="containsText" dxfId="84" priority="19" operator="containsText" text="SUCCESS"/>
    <x:cfRule type="containsText" dxfId="85" priority="20" operator="containsText" text="COMPLETED"/>
    <x:cfRule type="containsText" dxfId="86" priority="21" operator="containsText" text="CLOSED"/>
    <x:cfRule type="containsText" dxfId="87" priority="22" operator="containsText" text="CONNECTED"/>
    <x:cfRule type="containsText" dxfId="88" priority="23" operator="containsText" text="NORMAL"/>
    <x:cfRule type="containsText" dxfId="89" priority="24" operator="containsText" text="VERIFIED"/>
    <x:cfRule type="containsText" dxfId="90" priority="25" operator="containsText" text="RESOLVED"/>
    <x:cfRule type="containsText" dxfId="91" priority="26" operator="containsText" text="PASS"/>
    <x:cfRule type="containsText" dxfId="92" priority="27" operator="containsText" text="OK"/>
    <x:cfRule type="containsText" dxfId="93" priority="28" operator="containsText" text="INFO"/>
    <x:cfRule type="containsText" dxfId="94" priority="29" operator="containsText" text="DRAFT"/>
    <x:cfRule type="containsText" dxfId="95" priority="30" operator="containsText" text="SCHEDULED"/>
    <x:cfRule type="containsText" dxfId="96" priority="31" operator="containsText" text="IN_PROGRESS"/>
    <x:cfRule type="containsText" dxfId="97" priority="32" operator="containsText" text="MODEL_REVIEW"/>
    <x:cfRule type="containsText" dxfId="98" priority="33" operator="containsText" text="READ"/>
  </x:conditionalFormatting>
  <x:dataValidations count="1">
    <x:dataValidation type="list" sqref="G5:G40">
      <x:formula1>"FULL_TIME,CONTRACTOR"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78ced5f5264d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</x:cols>
  <x:sheetData>
    <x:row r="1" ht="32" customHeight="1">
      <x:c r="A1" s="17" t="str">
        <x:v>ESCA HSE | Roles</x:v>
      </x:c>
      <x:c r="B1" s="17" t="str">
        <x:v>ESCA HSE | Roles</x:v>
      </x:c>
      <x:c r="C1" s="17" t="str">
        <x:v>ESCA HSE | Roles</x:v>
      </x:c>
      <x:c r="D1" s="17" t="str">
        <x:v>ESCA HSE | Roles</x:v>
      </x:c>
    </x:row>
    <x:row r="2" ht="28" customHeight="1">
      <x:c r="A2" s="21" t="str">
        <x:v>RBAC role catalogue | Owner: Member 1 | Synthetic sample data | Snapshot: 2026-08-13</x:v>
      </x:c>
      <x:c r="B2" s="21" t="str">
        <x:v>RBAC role catalogue | Owner: Member 1 | Synthetic sample data | Snapshot: 2026-08-13</x:v>
      </x:c>
      <x:c r="C2" s="21" t="str">
        <x:v>RBAC role catalogue | Owner: Member 1 | Synthetic sample data | Snapshot: 2026-08-13</x:v>
      </x:c>
      <x:c r="D2" s="21" t="str">
        <x:v>RBAC role catalogue | Owner: Member 1 | Synthetic sample data | Snapshot: 2026-08-13</x:v>
      </x:c>
    </x:row>
    <x:row r="4" ht="30" customHeight="1">
      <x:c r="A4" s="26" t="str">
        <x:v>role_id</x:v>
      </x:c>
      <x:c r="B4" s="26" t="str">
        <x:v>role_name</x:v>
      </x:c>
      <x:c r="C4" s="26" t="str">
        <x:v>description</x:v>
      </x:c>
      <x:c r="D4" s="26" t="str">
        <x:v>scope_level</x:v>
      </x:c>
    </x:row>
    <x:row r="5" ht="24" customHeight="1">
      <x:c r="A5" s="31" t="str">
        <x:v>ROLE-HSE-MGR</x:v>
      </x:c>
      <x:c r="B5" s="31" t="str">
        <x:v>HSE_MANAGER</x:v>
      </x:c>
      <x:c r="C5" s="31" t="str">
        <x:v>Full HSE scope and high-risk approvals</x:v>
      </x:c>
      <x:c r="D5" s="31" t="str">
        <x:v>SITE</x:v>
      </x:c>
    </x:row>
    <x:row r="6" ht="24" customHeight="1">
      <x:c r="A6" s="33" t="str">
        <x:v>ROLE-HSE-OFF</x:v>
      </x:c>
      <x:c r="B6" s="33" t="str">
        <x:v>HSE_OFFICER</x:v>
      </x:c>
      <x:c r="C6" s="33" t="str">
        <x:v>Operational HSE create/read/update</x:v>
      </x:c>
      <x:c r="D6" s="33" t="str">
        <x:v>ASSIGNED_ZONES</x:v>
      </x:c>
    </x:row>
    <x:row r="7" ht="24" customHeight="1">
      <x:c r="A7" s="33" t="str">
        <x:v>ROLE-DOCTOR</x:v>
      </x:c>
      <x:c r="B7" s="33" t="str">
        <x:v>OCCUPATIONAL_DOCTOR</x:v>
      </x:c>
      <x:c r="C7" s="33" t="str">
        <x:v>Confidential occupational health records</x:v>
      </x:c>
      <x:c r="D7" s="33" t="str">
        <x:v>CLINIC</x:v>
      </x:c>
    </x:row>
    <x:row r="8" ht="24" customHeight="1">
      <x:c r="A8" s="33" t="str">
        <x:v>ROLE-DEPT-MGR</x:v>
      </x:c>
      <x:c r="B8" s="33" t="str">
        <x:v>DEPARTMENT_MANAGER</x:v>
      </x:c>
      <x:c r="C8" s="33" t="str">
        <x:v>Department-level review and approval</x:v>
      </x:c>
      <x:c r="D8" s="33" t="str">
        <x:v>DEPARTMENT</x:v>
      </x:c>
    </x:row>
    <x:row r="9" ht="24" customHeight="1">
      <x:c r="A9" s="33" t="str">
        <x:v>ROLE-SHIFT-SUP</x:v>
      </x:c>
      <x:c r="B9" s="33" t="str">
        <x:v>SHIFT_SUPERVISOR</x:v>
      </x:c>
      <x:c r="C9" s="33" t="str">
        <x:v>Shift reporting and permit requests</x:v>
      </x:c>
      <x:c r="D9" s="33" t="str">
        <x:v>SHIFT</x:v>
      </x:c>
    </x:row>
    <x:row r="10" ht="24" customHeight="1">
      <x:c r="A10" s="33" t="str">
        <x:v>ROLE-MAINT</x:v>
      </x:c>
      <x:c r="B10" s="33" t="str">
        <x:v>MAINTENANCE_TECHNICIAN</x:v>
      </x:c>
      <x:c r="C10" s="33" t="str">
        <x:v>Assigned maintenance and permit access</x:v>
      </x:c>
      <x:c r="D10" s="33" t="str">
        <x:v>ASSIGNED_WORK</x:v>
      </x:c>
    </x:row>
    <x:row r="11" ht="24" customHeight="1">
      <x:c r="A11" s="33" t="str">
        <x:v>ROLE-WORKER</x:v>
      </x:c>
      <x:c r="B11" s="33" t="str">
        <x:v>WORKER</x:v>
      </x:c>
      <x:c r="C11" s="33" t="str">
        <x:v>Create own safety reports and view assigned permits</x:v>
      </x:c>
      <x:c r="D11" s="33" t="str">
        <x:v>SELF</x:v>
      </x:c>
    </x:row>
    <x:row r="12" ht="24" customHeight="1">
      <x:c r="A12" s="33" t="str">
        <x:v>ROLE-CONTRACTOR</x:v>
      </x:c>
      <x:c r="B12" s="33" t="str">
        <x:v>CONTRACTOR</x:v>
      </x:c>
      <x:c r="C12" s="33" t="str">
        <x:v>Active permit only</x:v>
      </x:c>
      <x:c r="D12" s="33" t="str">
        <x:v>ACTIVE_PERMIT</x:v>
      </x:c>
    </x:row>
    <x:row r="13" ht="24" customHeight="1">
      <x:c r="A13" s="33" t="str">
        <x:v>ROLE-AUDITOR</x:v>
      </x:c>
      <x:c r="B13" s="33" t="str">
        <x:v>AUDITOR</x:v>
      </x:c>
      <x:c r="C13" s="33" t="str">
        <x:v>Read-only audit scope</x:v>
      </x:c>
      <x:c r="D13" s="33" t="str">
        <x:v>SITE_READ_ONLY</x:v>
      </x:c>
    </x:row>
    <x:row r="14" ht="24" customHeight="1">
      <x:c r="A14" s="35" t="str">
        <x:v>ROLE-AUTOMATION</x:v>
      </x:c>
      <x:c r="B14" s="35" t="str">
        <x:v>AUTOMATION_SERVICE</x:v>
      </x:c>
      <x:c r="C14" s="35" t="str">
        <x:v>Read DB views and call approved Spring APIs</x:v>
      </x:c>
      <x:c r="D14" s="35" t="str">
        <x:v>SERVICE</x:v>
      </x:c>
    </x:row>
  </x:sheetData>
  <x:mergeCells>
    <x:mergeCell ref="A1:D1"/>
    <x:mergeCell ref="A2:D2"/>
  </x:mergeCells>
  <x:conditionalFormatting sqref="D5:D14">
    <x:cfRule type="containsText" dxfId="99" priority="1" operator="containsText" text="CRITICAL"/>
    <x:cfRule type="containsText" dxfId="100" priority="2" operator="containsText" text="EXPIRED"/>
    <x:cfRule type="containsText" dxfId="101" priority="3" operator="containsText" text="FAILED"/>
    <x:cfRule type="containsText" dxfId="102" priority="4" operator="containsText" text="OVERDUE"/>
    <x:cfRule type="containsText" dxfId="103" priority="5" operator="containsText" text="REJECTED"/>
    <x:cfRule type="containsText" dxfId="104" priority="6" operator="containsText" text="OUT_OF_SERVICE"/>
    <x:cfRule type="containsText" dxfId="105" priority="7" operator="containsText" text="BELOW_THRESHOLD"/>
    <x:cfRule type="containsText" dxfId="106" priority="8" operator="containsText" text="HIGH"/>
    <x:cfRule type="containsText" dxfId="107" priority="9" operator="containsText" text="WARNING"/>
    <x:cfRule type="containsText" dxfId="108" priority="10" operator="containsText" text="DUE_SOON"/>
    <x:cfRule type="containsText" dxfId="109" priority="11" operator="containsText" text="OPEN"/>
    <x:cfRule type="containsText" dxfId="110" priority="12" operator="containsText" text="PENDING"/>
    <x:cfRule type="containsText" dxfId="111" priority="13" operator="containsText" text="SUSPENDED"/>
    <x:cfRule type="containsText" dxfId="112" priority="14" operator="containsText" text="TESTING"/>
    <x:cfRule type="containsText" dxfId="113" priority="15" operator="containsText" text="PARTIAL_FAILURE"/>
    <x:cfRule type="containsText" dxfId="114" priority="16" operator="containsText" text="LOW_STOCK"/>
    <x:cfRule type="containsText" dxfId="115" priority="17" operator="containsText" text="ACTIVE"/>
    <x:cfRule type="containsText" dxfId="116" priority="18" operator="containsText" text="VALID"/>
    <x:cfRule type="containsText" dxfId="117" priority="19" operator="containsText" text="SUCCESS"/>
    <x:cfRule type="containsText" dxfId="118" priority="20" operator="containsText" text="COMPLETED"/>
    <x:cfRule type="containsText" dxfId="119" priority="21" operator="containsText" text="CLOSED"/>
    <x:cfRule type="containsText" dxfId="120" priority="22" operator="containsText" text="CONNECTED"/>
    <x:cfRule type="containsText" dxfId="121" priority="23" operator="containsText" text="NORMAL"/>
    <x:cfRule type="containsText" dxfId="122" priority="24" operator="containsText" text="VERIFIED"/>
    <x:cfRule type="containsText" dxfId="123" priority="25" operator="containsText" text="RESOLVED"/>
    <x:cfRule type="containsText" dxfId="124" priority="26" operator="containsText" text="PASS"/>
    <x:cfRule type="containsText" dxfId="125" priority="27" operator="containsText" text="OK"/>
    <x:cfRule type="containsText" dxfId="126" priority="28" operator="containsText" text="INFO"/>
    <x:cfRule type="containsText" dxfId="127" priority="29" operator="containsText" text="DRAFT"/>
    <x:cfRule type="containsText" dxfId="128" priority="30" operator="containsText" text="SCHEDULED"/>
    <x:cfRule type="containsText" dxfId="129" priority="31" operator="containsText" text="IN_PROGRESS"/>
    <x:cfRule type="containsText" dxfId="130" priority="32" operator="containsText" text="MODEL_REVIEW"/>
    <x:cfRule type="containsText" dxfId="131" priority="33" operator="containsText" text="READ"/>
  </x:conditionalFormatting>
  <x:pageMargins left="0.7" right="0.7" top="0.75" bottom="0.75" header="0.3" footer="0.3"/>
  <x:tableParts count="1">
    <x:tablePart xmlns:r="http://schemas.openxmlformats.org/officeDocument/2006/relationships" r:id="R08280e2fa09246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  <x:col min="5" max="5" width="13" hidden="0" customWidth="1"/>
    <x:col min="6" max="6" width="20" hidden="0" customWidth="1"/>
  </x:cols>
  <x:sheetData>
    <x:row r="1" ht="32" customHeight="1">
      <x:c r="A1" s="17" t="str">
        <x:v>ESCA HSE | Users</x:v>
      </x:c>
      <x:c r="B1" s="17" t="str">
        <x:v>ESCA HSE | Users</x:v>
      </x:c>
      <x:c r="C1" s="17" t="str">
        <x:v>ESCA HSE | Users</x:v>
      </x:c>
      <x:c r="D1" s="17" t="str">
        <x:v>ESCA HSE | Users</x:v>
      </x:c>
      <x:c r="E1" s="17" t="str">
        <x:v>ESCA HSE | Users</x:v>
      </x:c>
      <x:c r="F1" s="17" t="str">
        <x:v>ESCA HSE | Users</x:v>
      </x:c>
    </x:row>
    <x:row r="2" ht="28" customHeight="1">
      <x:c r="A2" s="21" t="str">
        <x:v>Synthetic application users | Owner: Member 1 | Synthetic sample data | Snapshot: 2026-08-13</x:v>
      </x:c>
      <x:c r="B2" s="21" t="str">
        <x:v>Synthetic application users | Owner: Member 1 | Synthetic sample data | Snapshot: 2026-08-13</x:v>
      </x:c>
      <x:c r="C2" s="21" t="str">
        <x:v>Synthetic application users | Owner: Member 1 | Synthetic sample data | Snapshot: 2026-08-13</x:v>
      </x:c>
      <x:c r="D2" s="21" t="str">
        <x:v>Synthetic application users | Owner: Member 1 | Synthetic sample data | Snapshot: 2026-08-13</x:v>
      </x:c>
      <x:c r="E2" s="21" t="str">
        <x:v>Synthetic application users | Owner: Member 1 | Synthetic sample data | Snapshot: 2026-08-13</x:v>
      </x:c>
      <x:c r="F2" s="21" t="str">
        <x:v>Synthetic application users | Owner: Member 1 | Synthetic sample data | Snapshot: 2026-08-13</x:v>
      </x:c>
    </x:row>
    <x:row r="4" ht="30" customHeight="1">
      <x:c r="A4" s="26" t="str">
        <x:v>user_id</x:v>
      </x:c>
      <x:c r="B4" s="26" t="str">
        <x:v>employee_id</x:v>
      </x:c>
      <x:c r="C4" s="26" t="str">
        <x:v>username</x:v>
      </x:c>
      <x:c r="D4" s="26" t="str">
        <x:v>status</x:v>
      </x:c>
      <x:c r="E4" s="26" t="str">
        <x:v>mfa_enabled</x:v>
      </x:c>
      <x:c r="F4" s="26" t="str">
        <x:v>last_login_at</x:v>
      </x:c>
    </x:row>
    <x:row r="5" ht="24" customHeight="1">
      <x:c r="A5" s="31" t="str">
        <x:v>USR-001</x:v>
      </x:c>
      <x:c r="B5" s="31" t="str">
        <x:v>EMP-001</x:v>
      </x:c>
      <x:c r="C5" s="31" t="str">
        <x:v>user.001</x:v>
      </x:c>
      <x:c r="D5" s="31" t="str">
        <x:v>ACTIVE</x:v>
      </x:c>
      <x:c r="E5" s="32" t="b">
        <x:v>1</x:v>
      </x:c>
      <x:c r="F5" s="46" t="n">
        <x:v>46247.21875</x:v>
      </x:c>
    </x:row>
    <x:row r="6" ht="24" customHeight="1">
      <x:c r="A6" s="33" t="str">
        <x:v>USR-002</x:v>
      </x:c>
      <x:c r="B6" s="33" t="str">
        <x:v>EMP-002</x:v>
      </x:c>
      <x:c r="C6" s="33" t="str">
        <x:v>user.002</x:v>
      </x:c>
      <x:c r="D6" s="33" t="str">
        <x:v>ACTIVE</x:v>
      </x:c>
      <x:c r="E6" s="34" t="b">
        <x:v>1</x:v>
      </x:c>
      <x:c r="F6" s="47" t="n">
        <x:v>46246.260416666664</x:v>
      </x:c>
    </x:row>
    <x:row r="7" ht="24" customHeight="1">
      <x:c r="A7" s="33" t="str">
        <x:v>USR-003</x:v>
      </x:c>
      <x:c r="B7" s="33" t="str">
        <x:v>EMP-003</x:v>
      </x:c>
      <x:c r="C7" s="33" t="str">
        <x:v>user.003</x:v>
      </x:c>
      <x:c r="D7" s="33" t="str">
        <x:v>ACTIVE</x:v>
      </x:c>
      <x:c r="E7" s="34" t="b">
        <x:v>1</x:v>
      </x:c>
      <x:c r="F7" s="47" t="n">
        <x:v>46245.302083333336</x:v>
      </x:c>
    </x:row>
    <x:row r="8" ht="24" customHeight="1">
      <x:c r="A8" s="33" t="str">
        <x:v>USR-004</x:v>
      </x:c>
      <x:c r="B8" s="33" t="str">
        <x:v>EMP-004</x:v>
      </x:c>
      <x:c r="C8" s="33" t="str">
        <x:v>user.004</x:v>
      </x:c>
      <x:c r="D8" s="33" t="str">
        <x:v>ACTIVE</x:v>
      </x:c>
      <x:c r="E8" s="34" t="b">
        <x:v>1</x:v>
      </x:c>
      <x:c r="F8" s="47" t="n">
        <x:v>46244.34375</x:v>
      </x:c>
    </x:row>
    <x:row r="9" ht="24" customHeight="1">
      <x:c r="A9" s="33" t="str">
        <x:v>USR-005</x:v>
      </x:c>
      <x:c r="B9" s="33" t="str">
        <x:v>EMP-005</x:v>
      </x:c>
      <x:c r="C9" s="33" t="str">
        <x:v>user.005</x:v>
      </x:c>
      <x:c r="D9" s="33" t="str">
        <x:v>ACTIVE</x:v>
      </x:c>
      <x:c r="E9" s="34" t="b">
        <x:v>1</x:v>
      </x:c>
      <x:c r="F9" s="47" t="n">
        <x:v>46243.385416666664</x:v>
      </x:c>
    </x:row>
    <x:row r="10" ht="24" customHeight="1">
      <x:c r="A10" s="33" t="str">
        <x:v>USR-006</x:v>
      </x:c>
      <x:c r="B10" s="33" t="str">
        <x:v>EMP-006</x:v>
      </x:c>
      <x:c r="C10" s="33" t="str">
        <x:v>user.006</x:v>
      </x:c>
      <x:c r="D10" s="33" t="str">
        <x:v>ACTIVE</x:v>
      </x:c>
      <x:c r="E10" s="34" t="b">
        <x:v>1</x:v>
      </x:c>
      <x:c r="F10" s="47" t="n">
        <x:v>46242.21875</x:v>
      </x:c>
    </x:row>
    <x:row r="11" ht="24" customHeight="1">
      <x:c r="A11" s="33" t="str">
        <x:v>USR-007</x:v>
      </x:c>
      <x:c r="B11" s="33" t="str">
        <x:v>EMP-007</x:v>
      </x:c>
      <x:c r="C11" s="33" t="str">
        <x:v>user.007</x:v>
      </x:c>
      <x:c r="D11" s="33" t="str">
        <x:v>ACTIVE</x:v>
      </x:c>
      <x:c r="E11" s="34" t="b">
        <x:v>1</x:v>
      </x:c>
      <x:c r="F11" s="47" t="n">
        <x:v>46247.260416666664</x:v>
      </x:c>
    </x:row>
    <x:row r="12" ht="24" customHeight="1">
      <x:c r="A12" s="33" t="str">
        <x:v>USR-008</x:v>
      </x:c>
      <x:c r="B12" s="33" t="str">
        <x:v>EMP-008</x:v>
      </x:c>
      <x:c r="C12" s="33" t="str">
        <x:v>user.008</x:v>
      </x:c>
      <x:c r="D12" s="33" t="str">
        <x:v>ACTIVE</x:v>
      </x:c>
      <x:c r="E12" s="34" t="b">
        <x:v>1</x:v>
      </x:c>
      <x:c r="F12" s="47" t="n">
        <x:v>46246.302083333336</x:v>
      </x:c>
    </x:row>
    <x:row r="13" ht="24" customHeight="1">
      <x:c r="A13" s="33" t="str">
        <x:v>USR-009</x:v>
      </x:c>
      <x:c r="B13" s="33" t="str">
        <x:v>EMP-009</x:v>
      </x:c>
      <x:c r="C13" s="33" t="str">
        <x:v>user.009</x:v>
      </x:c>
      <x:c r="D13" s="33" t="str">
        <x:v>ACTIVE</x:v>
      </x:c>
      <x:c r="E13" s="34" t="b">
        <x:v>1</x:v>
      </x:c>
      <x:c r="F13" s="47" t="n">
        <x:v>46245.34375</x:v>
      </x:c>
    </x:row>
    <x:row r="14" ht="24" customHeight="1">
      <x:c r="A14" s="33" t="str">
        <x:v>USR-010</x:v>
      </x:c>
      <x:c r="B14" s="33" t="str">
        <x:v>EMP-010</x:v>
      </x:c>
      <x:c r="C14" s="33" t="str">
        <x:v>user.010</x:v>
      </x:c>
      <x:c r="D14" s="33" t="str">
        <x:v>ACTIVE</x:v>
      </x:c>
      <x:c r="E14" s="34" t="b">
        <x:v>1</x:v>
      </x:c>
      <x:c r="F14" s="47" t="n">
        <x:v>46244.385416666664</x:v>
      </x:c>
    </x:row>
    <x:row r="15" ht="24" customHeight="1">
      <x:c r="A15" s="33" t="str">
        <x:v>USR-011</x:v>
      </x:c>
      <x:c r="B15" s="33" t="str">
        <x:v>EMP-011</x:v>
      </x:c>
      <x:c r="C15" s="33" t="str">
        <x:v>user.011</x:v>
      </x:c>
      <x:c r="D15" s="33" t="str">
        <x:v>ACTIVE</x:v>
      </x:c>
      <x:c r="E15" s="34" t="b">
        <x:v>1</x:v>
      </x:c>
      <x:c r="F15" s="47" t="n">
        <x:v>46243.21875</x:v>
      </x:c>
    </x:row>
    <x:row r="16" ht="24" customHeight="1">
      <x:c r="A16" s="33" t="str">
        <x:v>USR-012</x:v>
      </x:c>
      <x:c r="B16" s="33" t="str">
        <x:v>EMP-012</x:v>
      </x:c>
      <x:c r="C16" s="33" t="str">
        <x:v>user.012</x:v>
      </x:c>
      <x:c r="D16" s="33" t="str">
        <x:v>ACTIVE</x:v>
      </x:c>
      <x:c r="E16" s="34" t="b">
        <x:v>1</x:v>
      </x:c>
      <x:c r="F16" s="47" t="n">
        <x:v>46242.260416666664</x:v>
      </x:c>
    </x:row>
    <x:row r="17" ht="24" customHeight="1">
      <x:c r="A17" s="33" t="str">
        <x:v>USR-013</x:v>
      </x:c>
      <x:c r="B17" s="33" t="str">
        <x:v>EMP-013</x:v>
      </x:c>
      <x:c r="C17" s="33" t="str">
        <x:v>user.013</x:v>
      </x:c>
      <x:c r="D17" s="33" t="str">
        <x:v>ACTIVE</x:v>
      </x:c>
      <x:c r="E17" s="34" t="b">
        <x:v>1</x:v>
      </x:c>
      <x:c r="F17" s="47" t="n">
        <x:v>46247.302083333336</x:v>
      </x:c>
    </x:row>
    <x:row r="18" ht="24" customHeight="1">
      <x:c r="A18" s="33" t="str">
        <x:v>USR-014</x:v>
      </x:c>
      <x:c r="B18" s="33" t="str">
        <x:v>EMP-014</x:v>
      </x:c>
      <x:c r="C18" s="33" t="str">
        <x:v>user.014</x:v>
      </x:c>
      <x:c r="D18" s="33" t="str">
        <x:v>ACTIVE</x:v>
      </x:c>
      <x:c r="E18" s="34" t="b">
        <x:v>1</x:v>
      </x:c>
      <x:c r="F18" s="47" t="n">
        <x:v>46246.34375</x:v>
      </x:c>
    </x:row>
    <x:row r="19" ht="24" customHeight="1">
      <x:c r="A19" s="33" t="str">
        <x:v>USR-015</x:v>
      </x:c>
      <x:c r="B19" s="33" t="str">
        <x:v>EMP-015</x:v>
      </x:c>
      <x:c r="C19" s="33" t="str">
        <x:v>user.015</x:v>
      </x:c>
      <x:c r="D19" s="33" t="str">
        <x:v>ACTIVE</x:v>
      </x:c>
      <x:c r="E19" s="34" t="b">
        <x:v>1</x:v>
      </x:c>
      <x:c r="F19" s="47" t="n">
        <x:v>46245.385416666664</x:v>
      </x:c>
    </x:row>
    <x:row r="20" ht="24" customHeight="1">
      <x:c r="A20" s="33" t="str">
        <x:v>USR-016</x:v>
      </x:c>
      <x:c r="B20" s="33" t="str">
        <x:v>EMP-016</x:v>
      </x:c>
      <x:c r="C20" s="33" t="str">
        <x:v>user.016</x:v>
      </x:c>
      <x:c r="D20" s="33" t="str">
        <x:v>ACTIVE</x:v>
      </x:c>
      <x:c r="E20" s="34" t="b">
        <x:v>1</x:v>
      </x:c>
      <x:c r="F20" s="47" t="n">
        <x:v>46244.21875</x:v>
      </x:c>
    </x:row>
    <x:row r="21" ht="24" customHeight="1">
      <x:c r="A21" s="33" t="str">
        <x:v>USR-017</x:v>
      </x:c>
      <x:c r="B21" s="33" t="str">
        <x:v>EMP-021</x:v>
      </x:c>
      <x:c r="C21" s="33" t="str">
        <x:v>user.017</x:v>
      </x:c>
      <x:c r="D21" s="33" t="str">
        <x:v>ACTIVE</x:v>
      </x:c>
      <x:c r="E21" s="34" t="b">
        <x:v>0</x:v>
      </x:c>
      <x:c r="F21" s="47" t="n">
        <x:v>46243.260416666664</x:v>
      </x:c>
    </x:row>
    <x:row r="22" ht="24" customHeight="1">
      <x:c r="A22" s="33" t="str">
        <x:v>USR-018</x:v>
      </x:c>
      <x:c r="B22" s="33" t="str">
        <x:v>EMP-022</x:v>
      </x:c>
      <x:c r="C22" s="33" t="str">
        <x:v>user.018</x:v>
      </x:c>
      <x:c r="D22" s="33" t="str">
        <x:v>ACTIVE</x:v>
      </x:c>
      <x:c r="E22" s="34" t="b">
        <x:v>0</x:v>
      </x:c>
      <x:c r="F22" s="47" t="n">
        <x:v>46242.302083333336</x:v>
      </x:c>
    </x:row>
    <x:row r="23" ht="24" customHeight="1">
      <x:c r="A23" s="33" t="str">
        <x:v>USR-019</x:v>
      </x:c>
      <x:c r="B23" s="33" t="str">
        <x:v>EMP-029</x:v>
      </x:c>
      <x:c r="C23" s="33" t="str">
        <x:v>user.019</x:v>
      </x:c>
      <x:c r="D23" s="33" t="str">
        <x:v>SUSPENDED</x:v>
      </x:c>
      <x:c r="E23" s="34" t="b">
        <x:v>0</x:v>
      </x:c>
      <x:c r="F23" s="47" t="n">
        <x:v>46235.25</x:v>
      </x:c>
    </x:row>
    <x:row r="24" ht="24" customHeight="1">
      <x:c r="A24" s="33" t="str">
        <x:v>USR-020</x:v>
      </x:c>
      <x:c r="B24" s="33" t="str">
        <x:v>EMP-030</x:v>
      </x:c>
      <x:c r="C24" s="33" t="str">
        <x:v>user.020</x:v>
      </x:c>
      <x:c r="D24" s="33" t="str">
        <x:v>ACTIVE</x:v>
      </x:c>
      <x:c r="E24" s="34" t="b">
        <x:v>1</x:v>
      </x:c>
      <x:c r="F24" s="47" t="n">
        <x:v>46246.385416666664</x:v>
      </x:c>
    </x:row>
    <x:row r="25" ht="24" customHeight="1">
      <x:c r="A25" s="35" t="str">
        <x:v>SVC-AUTO-001</x:v>
      </x:c>
      <x:c r="B25" s="35"/>
      <x:c r="C25" s="35" t="str">
        <x:v>svc.automation</x:v>
      </x:c>
      <x:c r="D25" s="35" t="str">
        <x:v>ACTIVE</x:v>
      </x:c>
      <x:c r="E25" s="36" t="b">
        <x:v>1</x:v>
      </x:c>
      <x:c r="F25" s="48" t="n">
        <x:v>46247.37430555555</x:v>
      </x:c>
    </x:row>
  </x:sheetData>
  <x:mergeCells>
    <x:mergeCell ref="A1:F1"/>
    <x:mergeCell ref="A2:F2"/>
  </x:mergeCells>
  <x:conditionalFormatting sqref="D5:D25">
    <x:cfRule type="containsText" dxfId="132" priority="1" operator="containsText" text="CRITICAL"/>
    <x:cfRule type="containsText" dxfId="133" priority="2" operator="containsText" text="EXPIRED"/>
    <x:cfRule type="containsText" dxfId="134" priority="3" operator="containsText" text="FAILED"/>
    <x:cfRule type="containsText" dxfId="135" priority="4" operator="containsText" text="OVERDUE"/>
    <x:cfRule type="containsText" dxfId="136" priority="5" operator="containsText" text="REJECTED"/>
    <x:cfRule type="containsText" dxfId="137" priority="6" operator="containsText" text="OUT_OF_SERVICE"/>
    <x:cfRule type="containsText" dxfId="138" priority="7" operator="containsText" text="BELOW_THRESHOLD"/>
    <x:cfRule type="containsText" dxfId="139" priority="8" operator="containsText" text="HIGH"/>
    <x:cfRule type="containsText" dxfId="140" priority="9" operator="containsText" text="WARNING"/>
    <x:cfRule type="containsText" dxfId="141" priority="10" operator="containsText" text="DUE_SOON"/>
    <x:cfRule type="containsText" dxfId="142" priority="11" operator="containsText" text="OPEN"/>
    <x:cfRule type="containsText" dxfId="143" priority="12" operator="containsText" text="PENDING"/>
    <x:cfRule type="containsText" dxfId="144" priority="13" operator="containsText" text="SUSPENDED"/>
    <x:cfRule type="containsText" dxfId="145" priority="14" operator="containsText" text="TESTING"/>
    <x:cfRule type="containsText" dxfId="146" priority="15" operator="containsText" text="PARTIAL_FAILURE"/>
    <x:cfRule type="containsText" dxfId="147" priority="16" operator="containsText" text="LOW_STOCK"/>
    <x:cfRule type="containsText" dxfId="148" priority="17" operator="containsText" text="ACTIVE"/>
    <x:cfRule type="containsText" dxfId="149" priority="18" operator="containsText" text="VALID"/>
    <x:cfRule type="containsText" dxfId="150" priority="19" operator="containsText" text="SUCCESS"/>
    <x:cfRule type="containsText" dxfId="151" priority="20" operator="containsText" text="COMPLETED"/>
    <x:cfRule type="containsText" dxfId="152" priority="21" operator="containsText" text="CLOSED"/>
    <x:cfRule type="containsText" dxfId="153" priority="22" operator="containsText" text="CONNECTED"/>
    <x:cfRule type="containsText" dxfId="154" priority="23" operator="containsText" text="NORMAL"/>
    <x:cfRule type="containsText" dxfId="155" priority="24" operator="containsText" text="VERIFIED"/>
    <x:cfRule type="containsText" dxfId="156" priority="25" operator="containsText" text="RESOLVED"/>
    <x:cfRule type="containsText" dxfId="157" priority="26" operator="containsText" text="PASS"/>
    <x:cfRule type="containsText" dxfId="158" priority="27" operator="containsText" text="OK"/>
    <x:cfRule type="containsText" dxfId="159" priority="28" operator="containsText" text="INFO"/>
    <x:cfRule type="containsText" dxfId="160" priority="29" operator="containsText" text="DRAFT"/>
    <x:cfRule type="containsText" dxfId="161" priority="30" operator="containsText" text="SCHEDULED"/>
    <x:cfRule type="containsText" dxfId="162" priority="31" operator="containsText" text="IN_PROGRESS"/>
    <x:cfRule type="containsText" dxfId="163" priority="32" operator="containsText" text="MODEL_REVIEW"/>
    <x:cfRule type="containsText" dxfId="164" priority="33" operator="containsText" text="READ"/>
  </x:conditionalFormatting>
  <x:dataValidations count="1">
    <x:dataValidation type="list" sqref="D5:D25">
      <x:formula1>"ACTIVE,SUSPENDED,DISABLED"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9954f9fc9849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8" hidden="0" customWidth="1"/>
  </x:cols>
  <x:sheetData>
    <x:row r="1" ht="32" customHeight="1">
      <x:c r="A1" s="17" t="str">
        <x:v>ESCA HSE | User_Roles</x:v>
      </x:c>
      <x:c r="B1" s="17" t="str">
        <x:v>ESCA HSE | User_Roles</x:v>
      </x:c>
      <x:c r="C1" s="17" t="str">
        <x:v>ESCA HSE | User_Roles</x:v>
      </x:c>
      <x:c r="D1" s="17" t="str">
        <x:v>ESCA HSE | User_Roles</x:v>
      </x:c>
      <x:c r="E1" s="17" t="str">
        <x:v>ESCA HSE | User_Roles</x:v>
      </x:c>
      <x:c r="F1" s="17" t="str">
        <x:v>ESCA HSE | User_Roles</x:v>
      </x:c>
      <x:c r="G1" s="17" t="str">
        <x:v>ESCA HSE | User_Roles</x:v>
      </x:c>
      <x:c r="H1" s="17" t="str">
        <x:v>ESCA HSE | User_Roles</x:v>
      </x:c>
    </x:row>
    <x:row r="2" ht="28" customHeight="1">
      <x:c r="A2" s="21" t="str">
        <x:v>Scoped role assignments | Owner: Member 1 | Synthetic sample data | Snapshot: 2026-08-13</x:v>
      </x:c>
      <x:c r="B2" s="21" t="str">
        <x:v>Scoped role assignments | Owner: Member 1 | Synthetic sample data | Snapshot: 2026-08-13</x:v>
      </x:c>
      <x:c r="C2" s="21" t="str">
        <x:v>Scoped role assignments | Owner: Member 1 | Synthetic sample data | Snapshot: 2026-08-13</x:v>
      </x:c>
      <x:c r="D2" s="21" t="str">
        <x:v>Scoped role assignments | Owner: Member 1 | Synthetic sample data | Snapshot: 2026-08-13</x:v>
      </x:c>
      <x:c r="E2" s="21" t="str">
        <x:v>Scoped role assignments | Owner: Member 1 | Synthetic sample data | Snapshot: 2026-08-13</x:v>
      </x:c>
      <x:c r="F2" s="21" t="str">
        <x:v>Scoped role assignments | Owner: Member 1 | Synthetic sample data | Snapshot: 2026-08-13</x:v>
      </x:c>
      <x:c r="G2" s="21" t="str">
        <x:v>Scoped role assignments | Owner: Member 1 | Synthetic sample data | Snapshot: 2026-08-13</x:v>
      </x:c>
      <x:c r="H2" s="21" t="str">
        <x:v>Scoped role assignments | Owner: Member 1 | Synthetic sample data | Snapshot: 2026-08-13</x:v>
      </x:c>
    </x:row>
    <x:row r="4" ht="30" customHeight="1">
      <x:c r="A4" s="26" t="str">
        <x:v>assignment_id</x:v>
      </x:c>
      <x:c r="B4" s="26" t="str">
        <x:v>user_id</x:v>
      </x:c>
      <x:c r="C4" s="26" t="str">
        <x:v>role_id</x:v>
      </x:c>
      <x:c r="D4" s="26" t="str">
        <x:v>scope_type</x:v>
      </x:c>
      <x:c r="E4" s="26" t="str">
        <x:v>scope_id</x:v>
      </x:c>
      <x:c r="F4" s="26" t="str">
        <x:v>valid_from</x:v>
      </x:c>
      <x:c r="G4" s="26" t="str">
        <x:v>valid_to</x:v>
      </x:c>
      <x:c r="H4" s="26" t="str">
        <x:v>status</x:v>
      </x:c>
    </x:row>
    <x:row r="5" ht="24" customHeight="1">
      <x:c r="A5" s="31" t="str">
        <x:v>URA-001</x:v>
      </x:c>
      <x:c r="B5" s="31" t="str">
        <x:v>USR-001</x:v>
      </x:c>
      <x:c r="C5" s="31" t="str">
        <x:v>ROLE-DEPT-MGR</x:v>
      </x:c>
      <x:c r="D5" s="31" t="str">
        <x:v>DEPARTMENT</x:v>
      </x:c>
      <x:c r="E5" s="31" t="str">
        <x:v>DEP-PROD-A</x:v>
      </x:c>
      <x:c r="F5" s="42" t="n">
        <x:v>46023</x:v>
      </x:c>
      <x:c r="G5" s="42"/>
      <x:c r="H5" s="31" t="str">
        <x:v>ACTIVE</x:v>
      </x:c>
    </x:row>
    <x:row r="6" ht="24" customHeight="1">
      <x:c r="A6" s="33" t="str">
        <x:v>URA-002</x:v>
      </x:c>
      <x:c r="B6" s="33" t="str">
        <x:v>USR-002</x:v>
      </x:c>
      <x:c r="C6" s="33" t="str">
        <x:v>ROLE-DEPT-MGR</x:v>
      </x:c>
      <x:c r="D6" s="33" t="str">
        <x:v>DEPARTMENT</x:v>
      </x:c>
      <x:c r="E6" s="33" t="str">
        <x:v>DEP-PROD-B</x:v>
      </x:c>
      <x:c r="F6" s="43" t="n">
        <x:v>46023</x:v>
      </x:c>
      <x:c r="G6" s="43"/>
      <x:c r="H6" s="33" t="str">
        <x:v>ACTIVE</x:v>
      </x:c>
    </x:row>
    <x:row r="7" ht="24" customHeight="1">
      <x:c r="A7" s="33" t="str">
        <x:v>URA-003</x:v>
      </x:c>
      <x:c r="B7" s="33" t="str">
        <x:v>USR-003</x:v>
      </x:c>
      <x:c r="C7" s="33" t="str">
        <x:v>ROLE-DEPT-MGR</x:v>
      </x:c>
      <x:c r="D7" s="33" t="str">
        <x:v>DEPARTMENT</x:v>
      </x:c>
      <x:c r="E7" s="33" t="str">
        <x:v>DEP-MAINT</x:v>
      </x:c>
      <x:c r="F7" s="43" t="n">
        <x:v>46023</x:v>
      </x:c>
      <x:c r="G7" s="43"/>
      <x:c r="H7" s="33" t="str">
        <x:v>ACTIVE</x:v>
      </x:c>
    </x:row>
    <x:row r="8" ht="24" customHeight="1">
      <x:c r="A8" s="33" t="str">
        <x:v>URA-004</x:v>
      </x:c>
      <x:c r="B8" s="33" t="str">
        <x:v>USR-004</x:v>
      </x:c>
      <x:c r="C8" s="33" t="str">
        <x:v>ROLE-DEPT-MGR</x:v>
      </x:c>
      <x:c r="D8" s="33" t="str">
        <x:v>DEPARTMENT</x:v>
      </x:c>
      <x:c r="E8" s="33" t="str">
        <x:v>DEP-WH</x:v>
      </x:c>
      <x:c r="F8" s="43" t="n">
        <x:v>46023</x:v>
      </x:c>
      <x:c r="G8" s="43"/>
      <x:c r="H8" s="33" t="str">
        <x:v>ACTIVE</x:v>
      </x:c>
    </x:row>
    <x:row r="9" ht="24" customHeight="1">
      <x:c r="A9" s="33" t="str">
        <x:v>URA-005</x:v>
      </x:c>
      <x:c r="B9" s="33" t="str">
        <x:v>USR-005</x:v>
      </x:c>
      <x:c r="C9" s="33" t="str">
        <x:v>ROLE-DEPT-MGR</x:v>
      </x:c>
      <x:c r="D9" s="33" t="str">
        <x:v>DEPARTMENT</x:v>
      </x:c>
      <x:c r="E9" s="33" t="str">
        <x:v>DEP-QC</x:v>
      </x:c>
      <x:c r="F9" s="43" t="n">
        <x:v>46023</x:v>
      </x:c>
      <x:c r="G9" s="43"/>
      <x:c r="H9" s="33" t="str">
        <x:v>ACTIVE</x:v>
      </x:c>
    </x:row>
    <x:row r="10" ht="24" customHeight="1">
      <x:c r="A10" s="33" t="str">
        <x:v>URA-006</x:v>
      </x:c>
      <x:c r="B10" s="33" t="str">
        <x:v>USR-006</x:v>
      </x:c>
      <x:c r="C10" s="33" t="str">
        <x:v>ROLE-DEPT-MGR</x:v>
      </x:c>
      <x:c r="D10" s="33" t="str">
        <x:v>DEPARTMENT</x:v>
      </x:c>
      <x:c r="E10" s="33" t="str">
        <x:v>DEP-UTIL</x:v>
      </x:c>
      <x:c r="F10" s="43" t="n">
        <x:v>46023</x:v>
      </x:c>
      <x:c r="G10" s="43"/>
      <x:c r="H10" s="33" t="str">
        <x:v>ACTIVE</x:v>
      </x:c>
    </x:row>
    <x:row r="11" ht="24" customHeight="1">
      <x:c r="A11" s="33" t="str">
        <x:v>URA-007</x:v>
      </x:c>
      <x:c r="B11" s="33" t="str">
        <x:v>USR-007</x:v>
      </x:c>
      <x:c r="C11" s="33" t="str">
        <x:v>ROLE-DEPT-MGR</x:v>
      </x:c>
      <x:c r="D11" s="33" t="str">
        <x:v>DEPARTMENT</x:v>
      </x:c>
      <x:c r="E11" s="33" t="str">
        <x:v>DEP-ADMIN</x:v>
      </x:c>
      <x:c r="F11" s="43" t="n">
        <x:v>46023</x:v>
      </x:c>
      <x:c r="G11" s="43"/>
      <x:c r="H11" s="33" t="str">
        <x:v>ACTIVE</x:v>
      </x:c>
    </x:row>
    <x:row r="12" ht="24" customHeight="1">
      <x:c r="A12" s="33" t="str">
        <x:v>URA-008</x:v>
      </x:c>
      <x:c r="B12" s="33" t="str">
        <x:v>USR-008</x:v>
      </x:c>
      <x:c r="C12" s="33" t="str">
        <x:v>ROLE-HSE-MGR</x:v>
      </x:c>
      <x:c r="D12" s="33" t="str">
        <x:v>SITE</x:v>
      </x:c>
      <x:c r="E12" s="33" t="str">
        <x:v>ESCA</x:v>
      </x:c>
      <x:c r="F12" s="43" t="n">
        <x:v>46023</x:v>
      </x:c>
      <x:c r="G12" s="43"/>
      <x:c r="H12" s="33" t="str">
        <x:v>ACTIVE</x:v>
      </x:c>
    </x:row>
    <x:row r="13" ht="24" customHeight="1">
      <x:c r="A13" s="33" t="str">
        <x:v>URA-009</x:v>
      </x:c>
      <x:c r="B13" s="33" t="str">
        <x:v>USR-009</x:v>
      </x:c>
      <x:c r="C13" s="33" t="str">
        <x:v>ROLE-DOCTOR</x:v>
      </x:c>
      <x:c r="D13" s="33" t="str">
        <x:v>ZONE</x:v>
      </x:c>
      <x:c r="E13" s="33" t="str">
        <x:v>ZN-CLN</x:v>
      </x:c>
      <x:c r="F13" s="43" t="n">
        <x:v>46023</x:v>
      </x:c>
      <x:c r="G13" s="43"/>
      <x:c r="H13" s="33" t="str">
        <x:v>ACTIVE</x:v>
      </x:c>
    </x:row>
    <x:row r="14" ht="24" customHeight="1">
      <x:c r="A14" s="33" t="str">
        <x:v>URA-010</x:v>
      </x:c>
      <x:c r="B14" s="33" t="str">
        <x:v>USR-010</x:v>
      </x:c>
      <x:c r="C14" s="33" t="str">
        <x:v>ROLE-HSE-OFF</x:v>
      </x:c>
      <x:c r="D14" s="33" t="str">
        <x:v>DEPARTMENT</x:v>
      </x:c>
      <x:c r="E14" s="33" t="str">
        <x:v>DEP-HSE</x:v>
      </x:c>
      <x:c r="F14" s="43" t="n">
        <x:v>46023</x:v>
      </x:c>
      <x:c r="G14" s="43"/>
      <x:c r="H14" s="33" t="str">
        <x:v>ACTIVE</x:v>
      </x:c>
    </x:row>
    <x:row r="15" ht="24" customHeight="1">
      <x:c r="A15" s="33" t="str">
        <x:v>URA-011</x:v>
      </x:c>
      <x:c r="B15" s="33" t="str">
        <x:v>USR-011</x:v>
      </x:c>
      <x:c r="C15" s="33" t="str">
        <x:v>ROLE-HSE-OFF</x:v>
      </x:c>
      <x:c r="D15" s="33" t="str">
        <x:v>DEPARTMENT</x:v>
      </x:c>
      <x:c r="E15" s="33" t="str">
        <x:v>DEP-HSE</x:v>
      </x:c>
      <x:c r="F15" s="43" t="n">
        <x:v>46023</x:v>
      </x:c>
      <x:c r="G15" s="43"/>
      <x:c r="H15" s="33" t="str">
        <x:v>ACTIVE</x:v>
      </x:c>
    </x:row>
    <x:row r="16" ht="24" customHeight="1">
      <x:c r="A16" s="33" t="str">
        <x:v>URA-012</x:v>
      </x:c>
      <x:c r="B16" s="33" t="str">
        <x:v>USR-012</x:v>
      </x:c>
      <x:c r="C16" s="33" t="str">
        <x:v>ROLE-HSE-OFF</x:v>
      </x:c>
      <x:c r="D16" s="33" t="str">
        <x:v>DEPARTMENT</x:v>
      </x:c>
      <x:c r="E16" s="33" t="str">
        <x:v>DEP-HSE</x:v>
      </x:c>
      <x:c r="F16" s="43" t="n">
        <x:v>46023</x:v>
      </x:c>
      <x:c r="G16" s="43"/>
      <x:c r="H16" s="33" t="str">
        <x:v>ACTIVE</x:v>
      </x:c>
    </x:row>
    <x:row r="17" ht="24" customHeight="1">
      <x:c r="A17" s="33" t="str">
        <x:v>URA-013</x:v>
      </x:c>
      <x:c r="B17" s="33" t="str">
        <x:v>USR-013</x:v>
      </x:c>
      <x:c r="C17" s="33" t="str">
        <x:v>ROLE-SHIFT-SUP</x:v>
      </x:c>
      <x:c r="D17" s="33" t="str">
        <x:v>DEPARTMENT</x:v>
      </x:c>
      <x:c r="E17" s="33" t="str">
        <x:v>DEP-PROD-A</x:v>
      </x:c>
      <x:c r="F17" s="43" t="n">
        <x:v>46023</x:v>
      </x:c>
      <x:c r="G17" s="43"/>
      <x:c r="H17" s="33" t="str">
        <x:v>ACTIVE</x:v>
      </x:c>
    </x:row>
    <x:row r="18" ht="24" customHeight="1">
      <x:c r="A18" s="33" t="str">
        <x:v>URA-014</x:v>
      </x:c>
      <x:c r="B18" s="33" t="str">
        <x:v>USR-014</x:v>
      </x:c>
      <x:c r="C18" s="33" t="str">
        <x:v>ROLE-SHIFT-SUP</x:v>
      </x:c>
      <x:c r="D18" s="33" t="str">
        <x:v>DEPARTMENT</x:v>
      </x:c>
      <x:c r="E18" s="33" t="str">
        <x:v>DEP-PROD-B</x:v>
      </x:c>
      <x:c r="F18" s="43" t="n">
        <x:v>46023</x:v>
      </x:c>
      <x:c r="G18" s="43"/>
      <x:c r="H18" s="33" t="str">
        <x:v>ACTIVE</x:v>
      </x:c>
    </x:row>
    <x:row r="19" ht="24" customHeight="1">
      <x:c r="A19" s="33" t="str">
        <x:v>URA-015</x:v>
      </x:c>
      <x:c r="B19" s="33" t="str">
        <x:v>USR-015</x:v>
      </x:c>
      <x:c r="C19" s="33" t="str">
        <x:v>ROLE-SHIFT-SUP</x:v>
      </x:c>
      <x:c r="D19" s="33" t="str">
        <x:v>DEPARTMENT</x:v>
      </x:c>
      <x:c r="E19" s="33" t="str">
        <x:v>DEP-MAINT</x:v>
      </x:c>
      <x:c r="F19" s="43" t="n">
        <x:v>46023</x:v>
      </x:c>
      <x:c r="G19" s="43"/>
      <x:c r="H19" s="33" t="str">
        <x:v>ACTIVE</x:v>
      </x:c>
    </x:row>
    <x:row r="20" ht="24" customHeight="1">
      <x:c r="A20" s="33" t="str">
        <x:v>URA-016</x:v>
      </x:c>
      <x:c r="B20" s="33" t="str">
        <x:v>USR-016</x:v>
      </x:c>
      <x:c r="C20" s="33" t="str">
        <x:v>ROLE-SHIFT-SUP</x:v>
      </x:c>
      <x:c r="D20" s="33" t="str">
        <x:v>DEPARTMENT</x:v>
      </x:c>
      <x:c r="E20" s="33" t="str">
        <x:v>DEP-WH</x:v>
      </x:c>
      <x:c r="F20" s="43" t="n">
        <x:v>46023</x:v>
      </x:c>
      <x:c r="G20" s="43"/>
      <x:c r="H20" s="33" t="str">
        <x:v>ACTIVE</x:v>
      </x:c>
    </x:row>
    <x:row r="21" ht="24" customHeight="1">
      <x:c r="A21" s="33" t="str">
        <x:v>URA-017</x:v>
      </x:c>
      <x:c r="B21" s="33" t="str">
        <x:v>USR-017</x:v>
      </x:c>
      <x:c r="C21" s="33" t="str">
        <x:v>ROLE-MAINT</x:v>
      </x:c>
      <x:c r="D21" s="33" t="str">
        <x:v>DEPARTMENT</x:v>
      </x:c>
      <x:c r="E21" s="33" t="str">
        <x:v>DEP-MAINT</x:v>
      </x:c>
      <x:c r="F21" s="43" t="n">
        <x:v>46023</x:v>
      </x:c>
      <x:c r="G21" s="43"/>
      <x:c r="H21" s="33" t="str">
        <x:v>ACTIVE</x:v>
      </x:c>
    </x:row>
    <x:row r="22" ht="24" customHeight="1">
      <x:c r="A22" s="33" t="str">
        <x:v>URA-018</x:v>
      </x:c>
      <x:c r="B22" s="33" t="str">
        <x:v>USR-018</x:v>
      </x:c>
      <x:c r="C22" s="33" t="str">
        <x:v>ROLE-MAINT</x:v>
      </x:c>
      <x:c r="D22" s="33" t="str">
        <x:v>DEPARTMENT</x:v>
      </x:c>
      <x:c r="E22" s="33" t="str">
        <x:v>DEP-MAINT</x:v>
      </x:c>
      <x:c r="F22" s="43" t="n">
        <x:v>46023</x:v>
      </x:c>
      <x:c r="G22" s="43"/>
      <x:c r="H22" s="33" t="str">
        <x:v>ACTIVE</x:v>
      </x:c>
    </x:row>
    <x:row r="23" ht="24" customHeight="1">
      <x:c r="A23" s="33" t="str">
        <x:v>URA-019</x:v>
      </x:c>
      <x:c r="B23" s="33" t="str">
        <x:v>USR-019</x:v>
      </x:c>
      <x:c r="C23" s="33" t="str">
        <x:v>ROLE-CONTRACTOR</x:v>
      </x:c>
      <x:c r="D23" s="33" t="str">
        <x:v>DEPARTMENT</x:v>
      </x:c>
      <x:c r="E23" s="33" t="str">
        <x:v>DEP-MAINT</x:v>
      </x:c>
      <x:c r="F23" s="43" t="n">
        <x:v>46023</x:v>
      </x:c>
      <x:c r="G23" s="43"/>
      <x:c r="H23" s="33" t="str">
        <x:v>SUSPENDED</x:v>
      </x:c>
    </x:row>
    <x:row r="24" ht="24" customHeight="1">
      <x:c r="A24" s="33" t="str">
        <x:v>URA-020</x:v>
      </x:c>
      <x:c r="B24" s="33" t="str">
        <x:v>USR-020</x:v>
      </x:c>
      <x:c r="C24" s="33" t="str">
        <x:v>ROLE-AUDITOR</x:v>
      </x:c>
      <x:c r="D24" s="33" t="str">
        <x:v>SITE</x:v>
      </x:c>
      <x:c r="E24" s="33" t="str">
        <x:v>ESCA</x:v>
      </x:c>
      <x:c r="F24" s="43" t="n">
        <x:v>46023</x:v>
      </x:c>
      <x:c r="G24" s="43"/>
      <x:c r="H24" s="33" t="str">
        <x:v>ACTIVE</x:v>
      </x:c>
    </x:row>
    <x:row r="25" ht="24" customHeight="1">
      <x:c r="A25" s="35" t="str">
        <x:v>URA-021</x:v>
      </x:c>
      <x:c r="B25" s="35" t="str">
        <x:v>SVC-AUTO-001</x:v>
      </x:c>
      <x:c r="C25" s="35" t="str">
        <x:v>ROLE-AUTOMATION</x:v>
      </x:c>
      <x:c r="D25" s="35" t="str">
        <x:v>SERVICE</x:v>
      </x:c>
      <x:c r="E25" s="35" t="str">
        <x:v>AUTOMATION-AGENT</x:v>
      </x:c>
      <x:c r="F25" s="44" t="n">
        <x:v>46235</x:v>
      </x:c>
      <x:c r="G25" s="44"/>
      <x:c r="H25" s="35" t="str">
        <x:v>ACTIVE</x:v>
      </x:c>
    </x:row>
  </x:sheetData>
  <x:mergeCells>
    <x:mergeCell ref="A1:H1"/>
    <x:mergeCell ref="A2:H2"/>
  </x:mergeCells>
  <x:conditionalFormatting sqref="H5:H25">
    <x:cfRule type="containsText" dxfId="165" priority="1" operator="containsText" text="CRITICAL"/>
    <x:cfRule type="containsText" dxfId="166" priority="2" operator="containsText" text="EXPIRED"/>
    <x:cfRule type="containsText" dxfId="167" priority="3" operator="containsText" text="FAILED"/>
    <x:cfRule type="containsText" dxfId="168" priority="4" operator="containsText" text="OVERDUE"/>
    <x:cfRule type="containsText" dxfId="169" priority="5" operator="containsText" text="REJECTED"/>
    <x:cfRule type="containsText" dxfId="170" priority="6" operator="containsText" text="OUT_OF_SERVICE"/>
    <x:cfRule type="containsText" dxfId="171" priority="7" operator="containsText" text="BELOW_THRESHOLD"/>
    <x:cfRule type="containsText" dxfId="172" priority="8" operator="containsText" text="HIGH"/>
    <x:cfRule type="containsText" dxfId="173" priority="9" operator="containsText" text="WARNING"/>
    <x:cfRule type="containsText" dxfId="174" priority="10" operator="containsText" text="DUE_SOON"/>
    <x:cfRule type="containsText" dxfId="175" priority="11" operator="containsText" text="OPEN"/>
    <x:cfRule type="containsText" dxfId="176" priority="12" operator="containsText" text="PENDING"/>
    <x:cfRule type="containsText" dxfId="177" priority="13" operator="containsText" text="SUSPENDED"/>
    <x:cfRule type="containsText" dxfId="178" priority="14" operator="containsText" text="TESTING"/>
    <x:cfRule type="containsText" dxfId="179" priority="15" operator="containsText" text="PARTIAL_FAILURE"/>
    <x:cfRule type="containsText" dxfId="180" priority="16" operator="containsText" text="LOW_STOCK"/>
    <x:cfRule type="containsText" dxfId="181" priority="17" operator="containsText" text="ACTIVE"/>
    <x:cfRule type="containsText" dxfId="182" priority="18" operator="containsText" text="VALID"/>
    <x:cfRule type="containsText" dxfId="183" priority="19" operator="containsText" text="SUCCESS"/>
    <x:cfRule type="containsText" dxfId="184" priority="20" operator="containsText" text="COMPLETED"/>
    <x:cfRule type="containsText" dxfId="185" priority="21" operator="containsText" text="CLOSED"/>
    <x:cfRule type="containsText" dxfId="186" priority="22" operator="containsText" text="CONNECTED"/>
    <x:cfRule type="containsText" dxfId="187" priority="23" operator="containsText" text="NORMAL"/>
    <x:cfRule type="containsText" dxfId="188" priority="24" operator="containsText" text="VERIFIED"/>
    <x:cfRule type="containsText" dxfId="189" priority="25" operator="containsText" text="RESOLVED"/>
    <x:cfRule type="containsText" dxfId="190" priority="26" operator="containsText" text="PASS"/>
    <x:cfRule type="containsText" dxfId="191" priority="27" operator="containsText" text="OK"/>
    <x:cfRule type="containsText" dxfId="192" priority="28" operator="containsText" text="INFO"/>
    <x:cfRule type="containsText" dxfId="193" priority="29" operator="containsText" text="DRAFT"/>
    <x:cfRule type="containsText" dxfId="194" priority="30" operator="containsText" text="SCHEDULED"/>
    <x:cfRule type="containsText" dxfId="195" priority="31" operator="containsText" text="IN_PROGRESS"/>
    <x:cfRule type="containsText" dxfId="196" priority="32" operator="containsText" text="MODEL_REVIEW"/>
    <x:cfRule type="containsText" dxfId="197" priority="33" operator="containsText" text="READ"/>
  </x:conditionalFormatting>
  <x:dataValidations count="2">
    <x:dataValidation type="list" sqref="D5:D25">
      <x:formula1>"SITE,DEPARTMENT,ZONE,SERVICE"</x:formula1>
    </x:dataValidation>
    <x:dataValidation type="list" sqref="H5:H25">
      <x:formula1>"ACTIVE,SUSPENDED,EXPIRED"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2bd9edfeae4a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3" hidden="0" customWidth="1"/>
    <x:col min="11" max="11" width="18" hidden="0" customWidth="1"/>
  </x:cols>
  <x:sheetData>
    <x:row r="1" ht="32" customHeight="1">
      <x:c r="A1" s="17" t="str">
        <x:v>ESCA HSE | RBAC_Matrix</x:v>
      </x:c>
      <x:c r="B1" s="17" t="str">
        <x:v>ESCA HSE | RBAC_Matrix</x:v>
      </x:c>
      <x:c r="C1" s="17" t="str">
        <x:v>ESCA HSE | RBAC_Matrix</x:v>
      </x:c>
      <x:c r="D1" s="17" t="str">
        <x:v>ESCA HSE | RBAC_Matrix</x:v>
      </x:c>
      <x:c r="E1" s="17" t="str">
        <x:v>ESCA HSE | RBAC_Matrix</x:v>
      </x:c>
      <x:c r="F1" s="17" t="str">
        <x:v>ESCA HSE | RBAC_Matrix</x:v>
      </x:c>
      <x:c r="G1" s="17" t="str">
        <x:v>ESCA HSE | RBAC_Matrix</x:v>
      </x:c>
      <x:c r="H1" s="17" t="str">
        <x:v>ESCA HSE | RBAC_Matrix</x:v>
      </x:c>
      <x:c r="I1" s="17" t="str">
        <x:v>ESCA HSE | RBAC_Matrix</x:v>
      </x:c>
      <x:c r="J1" s="17" t="str">
        <x:v>ESCA HSE | RBAC_Matrix</x:v>
      </x:c>
      <x:c r="K1" s="17" t="str">
        <x:v>ESCA HSE | RBAC_Matrix</x:v>
      </x:c>
    </x:row>
    <x:row r="2" ht="28" customHeight="1">
      <x:c r="A2" s="21" t="str">
        <x:v>Module-level access matrix including medical isolation | Owner: Member 1 | Synthetic sample data | Snapshot: 2026-08-13</x:v>
      </x:c>
      <x:c r="B2" s="21" t="str">
        <x:v>Module-level access matrix including medical isolation | Owner: Member 1 | Synthetic sample data | Snapshot: 2026-08-13</x:v>
      </x:c>
      <x:c r="C2" s="21" t="str">
        <x:v>Module-level access matrix including medical isolation | Owner: Member 1 | Synthetic sample data | Snapshot: 2026-08-13</x:v>
      </x:c>
      <x:c r="D2" s="21" t="str">
        <x:v>Module-level access matrix including medical isolation | Owner: Member 1 | Synthetic sample data | Snapshot: 2026-08-13</x:v>
      </x:c>
      <x:c r="E2" s="21" t="str">
        <x:v>Module-level access matrix including medical isolation | Owner: Member 1 | Synthetic sample data | Snapshot: 2026-08-13</x:v>
      </x:c>
      <x:c r="F2" s="21" t="str">
        <x:v>Module-level access matrix including medical isolation | Owner: Member 1 | Synthetic sample data | Snapshot: 2026-08-13</x:v>
      </x:c>
      <x:c r="G2" s="21" t="str">
        <x:v>Module-level access matrix including medical isolation | Owner: Member 1 | Synthetic sample data | Snapshot: 2026-08-13</x:v>
      </x:c>
      <x:c r="H2" s="21" t="str">
        <x:v>Module-level access matrix including medical isolation | Owner: Member 1 | Synthetic sample data | Snapshot: 2026-08-13</x:v>
      </x:c>
      <x:c r="I2" s="21" t="str">
        <x:v>Module-level access matrix including medical isolation | Owner: Member 1 | Synthetic sample data | Snapshot: 2026-08-13</x:v>
      </x:c>
      <x:c r="J2" s="21" t="str">
        <x:v>Module-level access matrix including medical isolation | Owner: Member 1 | Synthetic sample data | Snapshot: 2026-08-13</x:v>
      </x:c>
      <x:c r="K2" s="21" t="str">
        <x:v>Module-level access matrix including medical isolation | Owner: Member 1 | Synthetic sample data | Snapshot: 2026-08-13</x:v>
      </x:c>
    </x:row>
    <x:row r="4" ht="30" customHeight="1">
      <x:c r="A4" s="26" t="str">
        <x:v>role_id</x:v>
      </x:c>
      <x:c r="B4" s="26" t="str">
        <x:v>incidents_access</x:v>
      </x:c>
      <x:c r="C4" s="26" t="str">
        <x:v>permits_access</x:v>
      </x:c>
      <x:c r="D4" s="26" t="str">
        <x:v>inspections_access</x:v>
      </x:c>
      <x:c r="E4" s="26" t="str">
        <x:v>risks_access</x:v>
      </x:c>
      <x:c r="F4" s="26" t="str">
        <x:v>training_access</x:v>
      </x:c>
      <x:c r="G4" s="26" t="str">
        <x:v>health_access</x:v>
      </x:c>
      <x:c r="H4" s="26" t="str">
        <x:v>admin_access</x:v>
      </x:c>
      <x:c r="I4" s="26" t="str">
        <x:v>approve_high_risk</x:v>
      </x:c>
      <x:c r="J4" s="26" t="str">
        <x:v>export_reports</x:v>
      </x:c>
      <x:c r="K4" s="26" t="str">
        <x:v>scope_policy</x:v>
      </x:c>
    </x:row>
    <x:row r="5" ht="24" customHeight="1">
      <x:c r="A5" s="31" t="str">
        <x:v>ROLE-HSE-MGR</x:v>
      </x:c>
      <x:c r="B5" s="31" t="str">
        <x:v>CRUD</x:v>
      </x:c>
      <x:c r="C5" s="31" t="str">
        <x:v>CRUD</x:v>
      </x:c>
      <x:c r="D5" s="31" t="str">
        <x:v>CRUD</x:v>
      </x:c>
      <x:c r="E5" s="31" t="str">
        <x:v>CRUD</x:v>
      </x:c>
      <x:c r="F5" s="31" t="str">
        <x:v>CRUD</x:v>
      </x:c>
      <x:c r="G5" s="31" t="str">
        <x:v>AGGREGATE_ONLY</x:v>
      </x:c>
      <x:c r="H5" s="31" t="str">
        <x:v>RW</x:v>
      </x:c>
      <x:c r="I5" s="32" t="b">
        <x:v>1</x:v>
      </x:c>
      <x:c r="J5" s="32" t="b">
        <x:v>1</x:v>
      </x:c>
      <x:c r="K5" s="31" t="str">
        <x:v>SITE</x:v>
      </x:c>
    </x:row>
    <x:row r="6" ht="24" customHeight="1">
      <x:c r="A6" s="33" t="str">
        <x:v>ROLE-HSE-OFF</x:v>
      </x:c>
      <x:c r="B6" s="33" t="str">
        <x:v>CRU</x:v>
      </x:c>
      <x:c r="C6" s="33" t="str">
        <x:v>CRU</x:v>
      </x:c>
      <x:c r="D6" s="33" t="str">
        <x:v>CRUD</x:v>
      </x:c>
      <x:c r="E6" s="33" t="str">
        <x:v>CRU</x:v>
      </x:c>
      <x:c r="F6" s="33" t="str">
        <x:v>CRUD</x:v>
      </x:c>
      <x:c r="G6" s="33" t="str">
        <x:v>SELF_FITNESS_ONLY</x:v>
      </x:c>
      <x:c r="H6" s="33" t="str">
        <x:v>NONE</x:v>
      </x:c>
      <x:c r="I6" s="34" t="b">
        <x:v>0</x:v>
      </x:c>
      <x:c r="J6" s="34" t="b">
        <x:v>1</x:v>
      </x:c>
      <x:c r="K6" s="33" t="str">
        <x:v>ASSIGNED_ZONES</x:v>
      </x:c>
    </x:row>
    <x:row r="7" ht="24" customHeight="1">
      <x:c r="A7" s="33" t="str">
        <x:v>ROLE-DOCTOR</x:v>
      </x:c>
      <x:c r="B7" s="33" t="str">
        <x:v>C</x:v>
      </x:c>
      <x:c r="C7" s="33" t="str">
        <x:v>NONE</x:v>
      </x:c>
      <x:c r="D7" s="33" t="str">
        <x:v>CR</x:v>
      </x:c>
      <x:c r="E7" s="33" t="str">
        <x:v>NONE</x:v>
      </x:c>
      <x:c r="F7" s="33" t="str">
        <x:v>SELF</x:v>
      </x:c>
      <x:c r="G7" s="33" t="str">
        <x:v>CRUD</x:v>
      </x:c>
      <x:c r="H7" s="33" t="str">
        <x:v>NONE</x:v>
      </x:c>
      <x:c r="I7" s="34" t="b">
        <x:v>0</x:v>
      </x:c>
      <x:c r="J7" s="34" t="b">
        <x:v>0</x:v>
      </x:c>
      <x:c r="K7" s="33" t="str">
        <x:v>CLINIC</x:v>
      </x:c>
    </x:row>
    <x:row r="8" ht="24" customHeight="1">
      <x:c r="A8" s="33" t="str">
        <x:v>ROLE-DEPT-MGR</x:v>
      </x:c>
      <x:c r="B8" s="33" t="str">
        <x:v>CR</x:v>
      </x:c>
      <x:c r="C8" s="33" t="str">
        <x:v>R</x:v>
      </x:c>
      <x:c r="D8" s="33" t="str">
        <x:v>R</x:v>
      </x:c>
      <x:c r="E8" s="33" t="str">
        <x:v>R</x:v>
      </x:c>
      <x:c r="F8" s="33" t="str">
        <x:v>R</x:v>
      </x:c>
      <x:c r="G8" s="33" t="str">
        <x:v>SELF_FITNESS_ONLY</x:v>
      </x:c>
      <x:c r="H8" s="33" t="str">
        <x:v>NONE</x:v>
      </x:c>
      <x:c r="I8" s="34" t="b">
        <x:v>0</x:v>
      </x:c>
      <x:c r="J8" s="34" t="b">
        <x:v>1</x:v>
      </x:c>
      <x:c r="K8" s="33" t="str">
        <x:v>DEPARTMENT</x:v>
      </x:c>
    </x:row>
    <x:row r="9" ht="24" customHeight="1">
      <x:c r="A9" s="33" t="str">
        <x:v>ROLE-SHIFT-SUP</x:v>
      </x:c>
      <x:c r="B9" s="33" t="str">
        <x:v>CR</x:v>
      </x:c>
      <x:c r="C9" s="33" t="str">
        <x:v>CR</x:v>
      </x:c>
      <x:c r="D9" s="33" t="str">
        <x:v>CR</x:v>
      </x:c>
      <x:c r="E9" s="33" t="str">
        <x:v>NONE</x:v>
      </x:c>
      <x:c r="F9" s="33" t="str">
        <x:v>SELF</x:v>
      </x:c>
      <x:c r="G9" s="33" t="str">
        <x:v>SELF_FITNESS_ONLY</x:v>
      </x:c>
      <x:c r="H9" s="33" t="str">
        <x:v>NONE</x:v>
      </x:c>
      <x:c r="I9" s="34" t="b">
        <x:v>0</x:v>
      </x:c>
      <x:c r="J9" s="34" t="b">
        <x:v>0</x:v>
      </x:c>
      <x:c r="K9" s="33" t="str">
        <x:v>SHIFT</x:v>
      </x:c>
    </x:row>
    <x:row r="10" ht="24" customHeight="1">
      <x:c r="A10" s="33" t="str">
        <x:v>ROLE-MAINT</x:v>
      </x:c>
      <x:c r="B10" s="33" t="str">
        <x:v>C</x:v>
      </x:c>
      <x:c r="C10" s="33" t="str">
        <x:v>CR</x:v>
      </x:c>
      <x:c r="D10" s="33" t="str">
        <x:v>CR</x:v>
      </x:c>
      <x:c r="E10" s="33" t="str">
        <x:v>NONE</x:v>
      </x:c>
      <x:c r="F10" s="33" t="str">
        <x:v>SELF</x:v>
      </x:c>
      <x:c r="G10" s="33" t="str">
        <x:v>SELF_FITNESS_ONLY</x:v>
      </x:c>
      <x:c r="H10" s="33" t="str">
        <x:v>NONE</x:v>
      </x:c>
      <x:c r="I10" s="34" t="b">
        <x:v>0</x:v>
      </x:c>
      <x:c r="J10" s="34" t="b">
        <x:v>0</x:v>
      </x:c>
      <x:c r="K10" s="33" t="str">
        <x:v>ASSIGNED_WORK</x:v>
      </x:c>
    </x:row>
    <x:row r="11" ht="24" customHeight="1">
      <x:c r="A11" s="33" t="str">
        <x:v>ROLE-WORKER</x:v>
      </x:c>
      <x:c r="B11" s="33" t="str">
        <x:v>C</x:v>
      </x:c>
      <x:c r="C11" s="33" t="str">
        <x:v>CR</x:v>
      </x:c>
      <x:c r="D11" s="33" t="str">
        <x:v>CR</x:v>
      </x:c>
      <x:c r="E11" s="33" t="str">
        <x:v>NONE</x:v>
      </x:c>
      <x:c r="F11" s="33" t="str">
        <x:v>SELF</x:v>
      </x:c>
      <x:c r="G11" s="33" t="str">
        <x:v>SELF_FITNESS_ONLY</x:v>
      </x:c>
      <x:c r="H11" s="33" t="str">
        <x:v>NONE</x:v>
      </x:c>
      <x:c r="I11" s="34" t="b">
        <x:v>0</x:v>
      </x:c>
      <x:c r="J11" s="34" t="b">
        <x:v>0</x:v>
      </x:c>
      <x:c r="K11" s="33" t="str">
        <x:v>SELF</x:v>
      </x:c>
    </x:row>
    <x:row r="12" ht="24" customHeight="1">
      <x:c r="A12" s="33" t="str">
        <x:v>ROLE-CONTRACTOR</x:v>
      </x:c>
      <x:c r="B12" s="33" t="str">
        <x:v>C</x:v>
      </x:c>
      <x:c r="C12" s="33" t="str">
        <x:v>CR</x:v>
      </x:c>
      <x:c r="D12" s="33" t="str">
        <x:v>CR</x:v>
      </x:c>
      <x:c r="E12" s="33" t="str">
        <x:v>NONE</x:v>
      </x:c>
      <x:c r="F12" s="33" t="str">
        <x:v>SELF</x:v>
      </x:c>
      <x:c r="G12" s="33" t="str">
        <x:v>SELF_FITNESS_ONLY</x:v>
      </x:c>
      <x:c r="H12" s="33" t="str">
        <x:v>NONE</x:v>
      </x:c>
      <x:c r="I12" s="34" t="b">
        <x:v>0</x:v>
      </x:c>
      <x:c r="J12" s="34" t="b">
        <x:v>0</x:v>
      </x:c>
      <x:c r="K12" s="33" t="str">
        <x:v>ACTIVE_PERMIT</x:v>
      </x:c>
    </x:row>
    <x:row r="13" ht="24" customHeight="1">
      <x:c r="A13" s="33" t="str">
        <x:v>ROLE-AUDITOR</x:v>
      </x:c>
      <x:c r="B13" s="33" t="str">
        <x:v>R</x:v>
      </x:c>
      <x:c r="C13" s="33" t="str">
        <x:v>R</x:v>
      </x:c>
      <x:c r="D13" s="33" t="str">
        <x:v>R</x:v>
      </x:c>
      <x:c r="E13" s="33" t="str">
        <x:v>R</x:v>
      </x:c>
      <x:c r="F13" s="33" t="str">
        <x:v>R</x:v>
      </x:c>
      <x:c r="G13" s="33" t="str">
        <x:v>NONE</x:v>
      </x:c>
      <x:c r="H13" s="33" t="str">
        <x:v>R</x:v>
      </x:c>
      <x:c r="I13" s="34" t="b">
        <x:v>0</x:v>
      </x:c>
      <x:c r="J13" s="34" t="b">
        <x:v>1</x:v>
      </x:c>
      <x:c r="K13" s="33" t="str">
        <x:v>SITE_READ_ONLY</x:v>
      </x:c>
    </x:row>
    <x:row r="14" ht="24" customHeight="1">
      <x:c r="A14" s="35" t="str">
        <x:v>ROLE-AUTOMATION</x:v>
      </x:c>
      <x:c r="B14" s="35" t="str">
        <x:v>R</x:v>
      </x:c>
      <x:c r="C14" s="35" t="str">
        <x:v>R</x:v>
      </x:c>
      <x:c r="D14" s="35" t="str">
        <x:v>R</x:v>
      </x:c>
      <x:c r="E14" s="35" t="str">
        <x:v>R</x:v>
      </x:c>
      <x:c r="F14" s="35" t="str">
        <x:v>R</x:v>
      </x:c>
      <x:c r="G14" s="35" t="str">
        <x:v>NONE</x:v>
      </x:c>
      <x:c r="H14" s="35" t="str">
        <x:v>SERVICE_API</x:v>
      </x:c>
      <x:c r="I14" s="36" t="b">
        <x:v>0</x:v>
      </x:c>
      <x:c r="J14" s="36" t="b">
        <x:v>0</x:v>
      </x:c>
      <x:c r="K14" s="35" t="str">
        <x:v>SERVICE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3acad61323241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3" hidden="0" customWidth="1"/>
    <x:col min="9" max="9" width="18" hidden="0" customWidth="1"/>
  </x:cols>
  <x:sheetData>
    <x:row r="1" ht="32" customHeight="1">
      <x:c r="A1" s="17" t="str">
        <x:v>ESCA HSE | Service_Catalog</x:v>
      </x:c>
      <x:c r="B1" s="17" t="str">
        <x:v>ESCA HSE | Service_Catalog</x:v>
      </x:c>
      <x:c r="C1" s="17" t="str">
        <x:v>ESCA HSE | Service_Catalog</x:v>
      </x:c>
      <x:c r="D1" s="17" t="str">
        <x:v>ESCA HSE | Service_Catalog</x:v>
      </x:c>
      <x:c r="E1" s="17" t="str">
        <x:v>ESCA HSE | Service_Catalog</x:v>
      </x:c>
      <x:c r="F1" s="17" t="str">
        <x:v>ESCA HSE | Service_Catalog</x:v>
      </x:c>
      <x:c r="G1" s="17" t="str">
        <x:v>ESCA HSE | Service_Catalog</x:v>
      </x:c>
      <x:c r="H1" s="17" t="str">
        <x:v>ESCA HSE | Service_Catalog</x:v>
      </x:c>
      <x:c r="I1" s="17" t="str">
        <x:v>ESCA HSE | Service_Catalog</x:v>
      </x:c>
    </x:row>
    <x:row r="2" ht="28" customHeight="1">
      <x:c r="A2" s="21" t="str">
        <x:v>Architecture service and ownership catalogue | Owner: Whole team | Synthetic sample data | Snapshot: 2026-08-13</x:v>
      </x:c>
      <x:c r="B2" s="21" t="str">
        <x:v>Architecture service and ownership catalogue | Owner: Whole team | Synthetic sample data | Snapshot: 2026-08-13</x:v>
      </x:c>
      <x:c r="C2" s="21" t="str">
        <x:v>Architecture service and ownership catalogue | Owner: Whole team | Synthetic sample data | Snapshot: 2026-08-13</x:v>
      </x:c>
      <x:c r="D2" s="21" t="str">
        <x:v>Architecture service and ownership catalogue | Owner: Whole team | Synthetic sample data | Snapshot: 2026-08-13</x:v>
      </x:c>
      <x:c r="E2" s="21" t="str">
        <x:v>Architecture service and ownership catalogue | Owner: Whole team | Synthetic sample data | Snapshot: 2026-08-13</x:v>
      </x:c>
      <x:c r="F2" s="21" t="str">
        <x:v>Architecture service and ownership catalogue | Owner: Whole team | Synthetic sample data | Snapshot: 2026-08-13</x:v>
      </x:c>
      <x:c r="G2" s="21" t="str">
        <x:v>Architecture service and ownership catalogue | Owner: Whole team | Synthetic sample data | Snapshot: 2026-08-13</x:v>
      </x:c>
      <x:c r="H2" s="21" t="str">
        <x:v>Architecture service and ownership catalogue | Owner: Whole team | Synthetic sample data | Snapshot: 2026-08-13</x:v>
      </x:c>
      <x:c r="I2" s="21" t="str">
        <x:v>Architecture service and ownership catalogue | Owner: Whole team | Synthetic sample data | Snapshot: 2026-08-13</x:v>
      </x:c>
    </x:row>
    <x:row r="4" ht="30" customHeight="1">
      <x:c r="A4" s="26" t="str">
        <x:v>service_id</x:v>
      </x:c>
      <x:c r="B4" s="26" t="str">
        <x:v>service_name</x:v>
      </x:c>
      <x:c r="C4" s="26" t="str">
        <x:v>runtime</x:v>
      </x:c>
      <x:c r="D4" s="26" t="str">
        <x:v>data_store</x:v>
      </x:c>
      <x:c r="E4" s="26" t="str">
        <x:v>owner</x:v>
      </x:c>
      <x:c r="F4" s="26" t="str">
        <x:v>base_path</x:v>
      </x:c>
      <x:c r="G4" s="26" t="str">
        <x:v>health_status</x:v>
      </x:c>
      <x:c r="H4" s="26" t="str">
        <x:v>containerized</x:v>
      </x:c>
      <x:c r="I4" s="26" t="str">
        <x:v>api_version</x:v>
      </x:c>
    </x:row>
    <x:row r="5" ht="24" customHeight="1">
      <x:c r="A5" s="31" t="str">
        <x:v>SVC-AUTH</x:v>
      </x:c>
      <x:c r="B5" s="31" t="str">
        <x:v>Authentication &amp; RBAC</x:v>
      </x:c>
      <x:c r="C5" s="31" t="str">
        <x:v>Spring Boot</x:v>
      </x:c>
      <x:c r="D5" s="31" t="str">
        <x:v>PostgreSQL</x:v>
      </x:c>
      <x:c r="E5" s="31" t="str">
        <x:v>Member 1</x:v>
      </x:c>
      <x:c r="F5" s="31" t="str">
        <x:v>/api/v1/auth</x:v>
      </x:c>
      <x:c r="G5" s="31" t="str">
        <x:v>HEALTHY</x:v>
      </x:c>
      <x:c r="H5" s="32" t="b">
        <x:v>1</x:v>
      </x:c>
      <x:c r="I5" s="31" t="str">
        <x:v>v1</x:v>
      </x:c>
    </x:row>
    <x:row r="6" ht="24" customHeight="1">
      <x:c r="A6" s="33" t="str">
        <x:v>SVC-INC</x:v>
      </x:c>
      <x:c r="B6" s="33" t="str">
        <x:v>Incident &amp; CAPA</x:v>
      </x:c>
      <x:c r="C6" s="33" t="str">
        <x:v>Spring Boot</x:v>
      </x:c>
      <x:c r="D6" s="33" t="str">
        <x:v>PostgreSQL</x:v>
      </x:c>
      <x:c r="E6" s="33" t="str">
        <x:v>Member 1</x:v>
      </x:c>
      <x:c r="F6" s="33" t="str">
        <x:v>/api/v1/incidents</x:v>
      </x:c>
      <x:c r="G6" s="33" t="str">
        <x:v>HEALTHY</x:v>
      </x:c>
      <x:c r="H6" s="34" t="b">
        <x:v>1</x:v>
      </x:c>
      <x:c r="I6" s="33" t="str">
        <x:v>v1</x:v>
      </x:c>
    </x:row>
    <x:row r="7" ht="24" customHeight="1">
      <x:c r="A7" s="33" t="str">
        <x:v>SVC-INSP</x:v>
      </x:c>
      <x:c r="B7" s="33" t="str">
        <x:v>Inspection</x:v>
      </x:c>
      <x:c r="C7" s="33" t="str">
        <x:v>Spring Boot</x:v>
      </x:c>
      <x:c r="D7" s="33" t="str">
        <x:v>PostgreSQL</x:v>
      </x:c>
      <x:c r="E7" s="33" t="str">
        <x:v>Member 2</x:v>
      </x:c>
      <x:c r="F7" s="33" t="str">
        <x:v>/api/v1/inspections</x:v>
      </x:c>
      <x:c r="G7" s="33" t="str">
        <x:v>HEALTHY</x:v>
      </x:c>
      <x:c r="H7" s="34" t="b">
        <x:v>1</x:v>
      </x:c>
      <x:c r="I7" s="33" t="str">
        <x:v>v1</x:v>
      </x:c>
    </x:row>
    <x:row r="8" ht="24" customHeight="1">
      <x:c r="A8" s="33" t="str">
        <x:v>SVC-RISK</x:v>
      </x:c>
      <x:c r="B8" s="33" t="str">
        <x:v>HIRA &amp; JSA</x:v>
      </x:c>
      <x:c r="C8" s="33" t="str">
        <x:v>Spring Boot</x:v>
      </x:c>
      <x:c r="D8" s="33" t="str">
        <x:v>PostgreSQL</x:v>
      </x:c>
      <x:c r="E8" s="33" t="str">
        <x:v>Member 1</x:v>
      </x:c>
      <x:c r="F8" s="33" t="str">
        <x:v>/api/v1/risks</x:v>
      </x:c>
      <x:c r="G8" s="33" t="str">
        <x:v>HEALTHY</x:v>
      </x:c>
      <x:c r="H8" s="34" t="b">
        <x:v>1</x:v>
      </x:c>
      <x:c r="I8" s="33" t="str">
        <x:v>v1</x:v>
      </x:c>
    </x:row>
    <x:row r="9" ht="24" customHeight="1">
      <x:c r="A9" s="33" t="str">
        <x:v>SVC-PTW</x:v>
      </x:c>
      <x:c r="B9" s="33" t="str">
        <x:v>Permit to Work</x:v>
      </x:c>
      <x:c r="C9" s="33" t="str">
        <x:v>Spring Boot</x:v>
      </x:c>
      <x:c r="D9" s="33" t="str">
        <x:v>PostgreSQL</x:v>
      </x:c>
      <x:c r="E9" s="33" t="str">
        <x:v>Member 1</x:v>
      </x:c>
      <x:c r="F9" s="33" t="str">
        <x:v>/api/v1/permits</x:v>
      </x:c>
      <x:c r="G9" s="33" t="str">
        <x:v>HEALTHY</x:v>
      </x:c>
      <x:c r="H9" s="34" t="b">
        <x:v>1</x:v>
      </x:c>
      <x:c r="I9" s="33" t="str">
        <x:v>v1</x:v>
      </x:c>
    </x:row>
    <x:row r="10" ht="24" customHeight="1">
      <x:c r="A10" s="33" t="str">
        <x:v>SVC-TRAIN</x:v>
      </x:c>
      <x:c r="B10" s="33" t="str">
        <x:v>Training</x:v>
      </x:c>
      <x:c r="C10" s="33" t="str">
        <x:v>Spring Boot</x:v>
      </x:c>
      <x:c r="D10" s="33" t="str">
        <x:v>PostgreSQL</x:v>
      </x:c>
      <x:c r="E10" s="33" t="str">
        <x:v>Member 2</x:v>
      </x:c>
      <x:c r="F10" s="33" t="str">
        <x:v>/api/v1/training</x:v>
      </x:c>
      <x:c r="G10" s="33" t="str">
        <x:v>HEALTHY</x:v>
      </x:c>
      <x:c r="H10" s="34" t="b">
        <x:v>1</x:v>
      </x:c>
      <x:c r="I10" s="33" t="str">
        <x:v>v1</x:v>
      </x:c>
    </x:row>
    <x:row r="11" ht="24" customHeight="1">
      <x:c r="A11" s="33" t="str">
        <x:v>SVC-PPE</x:v>
      </x:c>
      <x:c r="B11" s="33" t="str">
        <x:v>PPE</x:v>
      </x:c>
      <x:c r="C11" s="33" t="str">
        <x:v>Spring Boot</x:v>
      </x:c>
      <x:c r="D11" s="33" t="str">
        <x:v>PostgreSQL</x:v>
      </x:c>
      <x:c r="E11" s="33" t="str">
        <x:v>Member 6</x:v>
      </x:c>
      <x:c r="F11" s="33" t="str">
        <x:v>/api/v1/ppe</x:v>
      </x:c>
      <x:c r="G11" s="33" t="str">
        <x:v>HEALTHY</x:v>
      </x:c>
      <x:c r="H11" s="34" t="b">
        <x:v>1</x:v>
      </x:c>
      <x:c r="I11" s="33" t="str">
        <x:v>v1</x:v>
      </x:c>
    </x:row>
    <x:row r="12" ht="24" customHeight="1">
      <x:c r="A12" s="33" t="str">
        <x:v>SVC-FIRE</x:v>
      </x:c>
      <x:c r="B12" s="33" t="str">
        <x:v>Fire Equipment</x:v>
      </x:c>
      <x:c r="C12" s="33" t="str">
        <x:v>Spring Boot</x:v>
      </x:c>
      <x:c r="D12" s="33" t="str">
        <x:v>PostgreSQL</x:v>
      </x:c>
      <x:c r="E12" s="33" t="str">
        <x:v>Member 6</x:v>
      </x:c>
      <x:c r="F12" s="33" t="str">
        <x:v>/api/v1/fire</x:v>
      </x:c>
      <x:c r="G12" s="33" t="str">
        <x:v>HEALTHY</x:v>
      </x:c>
      <x:c r="H12" s="34" t="b">
        <x:v>1</x:v>
      </x:c>
      <x:c r="I12" s="33" t="str">
        <x:v>v1</x:v>
      </x:c>
    </x:row>
    <x:row r="13" ht="24" customHeight="1">
      <x:c r="A13" s="33" t="str">
        <x:v>SVC-HAZ</x:v>
      </x:c>
      <x:c r="B13" s="33" t="str">
        <x:v>HazMat &amp; SDS</x:v>
      </x:c>
      <x:c r="C13" s="33" t="str">
        <x:v>Spring Boot</x:v>
      </x:c>
      <x:c r="D13" s="33" t="str">
        <x:v>PostgreSQL</x:v>
      </x:c>
      <x:c r="E13" s="33" t="str">
        <x:v>Member 2</x:v>
      </x:c>
      <x:c r="F13" s="33" t="str">
        <x:v>/api/v1/hazmat</x:v>
      </x:c>
      <x:c r="G13" s="33" t="str">
        <x:v>HEALTHY</x:v>
      </x:c>
      <x:c r="H13" s="34" t="b">
        <x:v>1</x:v>
      </x:c>
      <x:c r="I13" s="33" t="str">
        <x:v>v1</x:v>
      </x:c>
    </x:row>
    <x:row r="14" ht="24" customHeight="1">
      <x:c r="A14" s="33" t="str">
        <x:v>SVC-OH</x:v>
      </x:c>
      <x:c r="B14" s="33" t="str">
        <x:v>Occupational Health</x:v>
      </x:c>
      <x:c r="C14" s="33" t="str">
        <x:v>Spring Boot</x:v>
      </x:c>
      <x:c r="D14" s="33" t="str">
        <x:v>PostgreSQL</x:v>
      </x:c>
      <x:c r="E14" s="33" t="str">
        <x:v>Member 2</x:v>
      </x:c>
      <x:c r="F14" s="33" t="str">
        <x:v>/api/v1/occupational-health</x:v>
      </x:c>
      <x:c r="G14" s="33" t="str">
        <x:v>HEALTHY</x:v>
      </x:c>
      <x:c r="H14" s="34" t="b">
        <x:v>1</x:v>
      </x:c>
      <x:c r="I14" s="33" t="str">
        <x:v>v1</x:v>
      </x:c>
    </x:row>
    <x:row r="15" ht="24" customHeight="1">
      <x:c r="A15" s="33" t="str">
        <x:v>SVC-AUTO</x:v>
      </x:c>
      <x:c r="B15" s="33" t="str">
        <x:v>Automation Agent</x:v>
      </x:c>
      <x:c r="C15" s="33" t="str">
        <x:v>FastAPI</x:v>
      </x:c>
      <x:c r="D15" s="33" t="str">
        <x:v>PostgreSQL read-only</x:v>
      </x:c>
      <x:c r="E15" s="33" t="str">
        <x:v>Member 4</x:v>
      </x:c>
      <x:c r="F15" s="33" t="str">
        <x:v>/agent/v1</x:v>
      </x:c>
      <x:c r="G15" s="33" t="str">
        <x:v>HEALTHY</x:v>
      </x:c>
      <x:c r="H15" s="34" t="b">
        <x:v>1</x:v>
      </x:c>
      <x:c r="I15" s="33" t="str">
        <x:v>v1</x:v>
      </x:c>
    </x:row>
    <x:row r="16" ht="24" customHeight="1">
      <x:c r="A16" s="33" t="str">
        <x:v>SVC-QA</x:v>
      </x:c>
      <x:c r="B16" s="33" t="str">
        <x:v>Admin Q&amp;A Agent</x:v>
      </x:c>
      <x:c r="C16" s="33" t="str">
        <x:v>FastAPI</x:v>
      </x:c>
      <x:c r="D16" s="33" t="str">
        <x:v>Tool APIs</x:v>
      </x:c>
      <x:c r="E16" s="33" t="str">
        <x:v>Member 5</x:v>
      </x:c>
      <x:c r="F16" s="33" t="str">
        <x:v>/agent/v1/qa</x:v>
      </x:c>
      <x:c r="G16" s="33" t="str">
        <x:v>HEALTHY</x:v>
      </x:c>
      <x:c r="H16" s="34" t="b">
        <x:v>1</x:v>
      </x:c>
      <x:c r="I16" s="33" t="str">
        <x:v>v1</x:v>
      </x:c>
    </x:row>
    <x:row r="17" ht="24" customHeight="1">
      <x:c r="A17" s="33" t="str">
        <x:v>SVC-IOT</x:v>
      </x:c>
      <x:c r="B17" s="33" t="str">
        <x:v>IoT Ingest</x:v>
      </x:c>
      <x:c r="C17" s="33" t="str">
        <x:v>FastAPI</x:v>
      </x:c>
      <x:c r="D17" s="33" t="str">
        <x:v>Time-series sample</x:v>
      </x:c>
      <x:c r="E17" s="33" t="str">
        <x:v>Member 5</x:v>
      </x:c>
      <x:c r="F17" s="33" t="str">
        <x:v>/api/v1/iot</x:v>
      </x:c>
      <x:c r="G17" s="33" t="str">
        <x:v>DEGRADED</x:v>
      </x:c>
      <x:c r="H17" s="34" t="b">
        <x:v>1</x:v>
      </x:c>
      <x:c r="I17" s="33" t="str">
        <x:v>v1</x:v>
      </x:c>
    </x:row>
    <x:row r="18" ht="24" customHeight="1">
      <x:c r="A18" s="33" t="str">
        <x:v>SVC-NOTIFY</x:v>
      </x:c>
      <x:c r="B18" s="33" t="str">
        <x:v>Notification</x:v>
      </x:c>
      <x:c r="C18" s="33" t="str">
        <x:v>Spring Boot</x:v>
      </x:c>
      <x:c r="D18" s="33" t="str">
        <x:v>PostgreSQL</x:v>
      </x:c>
      <x:c r="E18" s="33" t="str">
        <x:v>Member 1 + Member 4</x:v>
      </x:c>
      <x:c r="F18" s="33" t="str">
        <x:v>/api/v1/notifications</x:v>
      </x:c>
      <x:c r="G18" s="33" t="str">
        <x:v>HEALTHY</x:v>
      </x:c>
      <x:c r="H18" s="34" t="b">
        <x:v>1</x:v>
      </x:c>
      <x:c r="I18" s="33" t="str">
        <x:v>v1</x:v>
      </x:c>
    </x:row>
    <x:row r="19" ht="24" customHeight="1">
      <x:c r="A19" s="33" t="str">
        <x:v>SVC-INTEG</x:v>
      </x:c>
      <x:c r="B19" s="33" t="str">
        <x:v>Integration Gateway</x:v>
      </x:c>
      <x:c r="C19" s="33" t="str">
        <x:v>Spring Boot</x:v>
      </x:c>
      <x:c r="D19" s="33" t="str">
        <x:v>Outbox sample</x:v>
      </x:c>
      <x:c r="E19" s="33" t="str">
        <x:v>Member 2</x:v>
      </x:c>
      <x:c r="F19" s="33" t="str">
        <x:v>/api/v1/integrations</x:v>
      </x:c>
      <x:c r="G19" s="33" t="str">
        <x:v>HEALTHY</x:v>
      </x:c>
      <x:c r="H19" s="34" t="b">
        <x:v>1</x:v>
      </x:c>
      <x:c r="I19" s="33" t="str">
        <x:v>v1</x:v>
      </x:c>
    </x:row>
    <x:row r="20" ht="24" customHeight="1">
      <x:c r="A20" s="35" t="str">
        <x:v>SVC-AUDIT</x:v>
      </x:c>
      <x:c r="B20" s="35" t="str">
        <x:v>Audit</x:v>
      </x:c>
      <x:c r="C20" s="35" t="str">
        <x:v>Spring Boot</x:v>
      </x:c>
      <x:c r="D20" s="35" t="str">
        <x:v>Append-only PostgreSQL</x:v>
      </x:c>
      <x:c r="E20" s="35" t="str">
        <x:v>Member 1</x:v>
      </x:c>
      <x:c r="F20" s="35" t="str">
        <x:v>/api/v1/audit</x:v>
      </x:c>
      <x:c r="G20" s="35" t="str">
        <x:v>HEALTHY</x:v>
      </x:c>
      <x:c r="H20" s="36" t="b">
        <x:v>1</x:v>
      </x:c>
      <x:c r="I20" s="35" t="str">
        <x:v>v1</x:v>
      </x:c>
    </x:row>
  </x:sheetData>
  <x:mergeCells>
    <x:mergeCell ref="A1:I1"/>
    <x:mergeCell ref="A2:I2"/>
  </x:mergeCells>
  <x:conditionalFormatting sqref="G5:G20">
    <x:cfRule type="containsText" dxfId="198" priority="1" operator="containsText" text="CRITICAL"/>
    <x:cfRule type="containsText" dxfId="199" priority="2" operator="containsText" text="EXPIRED"/>
    <x:cfRule type="containsText" dxfId="200" priority="3" operator="containsText" text="FAILED"/>
    <x:cfRule type="containsText" dxfId="201" priority="4" operator="containsText" text="OVERDUE"/>
    <x:cfRule type="containsText" dxfId="202" priority="5" operator="containsText" text="REJECTED"/>
    <x:cfRule type="containsText" dxfId="203" priority="6" operator="containsText" text="OUT_OF_SERVICE"/>
    <x:cfRule type="containsText" dxfId="204" priority="7" operator="containsText" text="BELOW_THRESHOLD"/>
    <x:cfRule type="containsText" dxfId="205" priority="8" operator="containsText" text="HIGH"/>
    <x:cfRule type="containsText" dxfId="206" priority="9" operator="containsText" text="WARNING"/>
    <x:cfRule type="containsText" dxfId="207" priority="10" operator="containsText" text="DUE_SOON"/>
    <x:cfRule type="containsText" dxfId="208" priority="11" operator="containsText" text="OPEN"/>
    <x:cfRule type="containsText" dxfId="209" priority="12" operator="containsText" text="PENDING"/>
    <x:cfRule type="containsText" dxfId="210" priority="13" operator="containsText" text="SUSPENDED"/>
    <x:cfRule type="containsText" dxfId="211" priority="14" operator="containsText" text="TESTING"/>
    <x:cfRule type="containsText" dxfId="212" priority="15" operator="containsText" text="PARTIAL_FAILURE"/>
    <x:cfRule type="containsText" dxfId="213" priority="16" operator="containsText" text="LOW_STOCK"/>
    <x:cfRule type="containsText" dxfId="214" priority="17" operator="containsText" text="ACTIVE"/>
    <x:cfRule type="containsText" dxfId="215" priority="18" operator="containsText" text="VALID"/>
    <x:cfRule type="containsText" dxfId="216" priority="19" operator="containsText" text="SUCCESS"/>
    <x:cfRule type="containsText" dxfId="217" priority="20" operator="containsText" text="COMPLETED"/>
    <x:cfRule type="containsText" dxfId="218" priority="21" operator="containsText" text="CLOSED"/>
    <x:cfRule type="containsText" dxfId="219" priority="22" operator="containsText" text="CONNECTED"/>
    <x:cfRule type="containsText" dxfId="220" priority="23" operator="containsText" text="NORMAL"/>
    <x:cfRule type="containsText" dxfId="221" priority="24" operator="containsText" text="VERIFIED"/>
    <x:cfRule type="containsText" dxfId="222" priority="25" operator="containsText" text="RESOLVED"/>
    <x:cfRule type="containsText" dxfId="223" priority="26" operator="containsText" text="PASS"/>
    <x:cfRule type="containsText" dxfId="224" priority="27" operator="containsText" text="OK"/>
    <x:cfRule type="containsText" dxfId="225" priority="28" operator="containsText" text="INFO"/>
    <x:cfRule type="containsText" dxfId="226" priority="29" operator="containsText" text="DRAFT"/>
    <x:cfRule type="containsText" dxfId="227" priority="30" operator="containsText" text="SCHEDULED"/>
    <x:cfRule type="containsText" dxfId="228" priority="31" operator="containsText" text="IN_PROGRESS"/>
    <x:cfRule type="containsText" dxfId="229" priority="32" operator="containsText" text="MODEL_REVIEW"/>
    <x:cfRule type="containsText" dxfId="230" priority="33" operator="containsText" text="READ"/>
  </x:conditionalFormatting>
  <x:dataValidations count="1">
    <x:dataValidation type="list" sqref="G5:G20">
      <x:formula1>"HEALTHY,DEGRADED,DOWN,PLANNED"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fcb938263749c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17" t="str">
        <x:v>ESCA HSE | Environments</x:v>
      </x:c>
      <x:c r="B1" s="17" t="str">
        <x:v>ESCA HSE | Environments</x:v>
      </x:c>
      <x:c r="C1" s="17" t="str">
        <x:v>ESCA HSE | Environments</x:v>
      </x:c>
      <x:c r="D1" s="17" t="str">
        <x:v>ESCA HSE | Environments</x:v>
      </x:c>
      <x:c r="E1" s="17" t="str">
        <x:v>ESCA HSE | Environments</x:v>
      </x:c>
      <x:c r="F1" s="17" t="str">
        <x:v>ESCA HSE | Environments</x:v>
      </x:c>
      <x:c r="G1" s="17" t="str">
        <x:v>ESCA HSE | Environments</x:v>
      </x:c>
    </x:row>
    <x:row r="2" ht="28" customHeight="1">
      <x:c r="A2" s="21" t="str">
        <x:v>Development, test and demo environment reference | Owner: Whole team | Synthetic sample data | Snapshot: 2026-08-13</x:v>
      </x:c>
      <x:c r="B2" s="21" t="str">
        <x:v>Development, test and demo environment reference | Owner: Whole team | Synthetic sample data | Snapshot: 2026-08-13</x:v>
      </x:c>
      <x:c r="C2" s="21" t="str">
        <x:v>Development, test and demo environment reference | Owner: Whole team | Synthetic sample data | Snapshot: 2026-08-13</x:v>
      </x:c>
      <x:c r="D2" s="21" t="str">
        <x:v>Development, test and demo environment reference | Owner: Whole team | Synthetic sample data | Snapshot: 2026-08-13</x:v>
      </x:c>
      <x:c r="E2" s="21" t="str">
        <x:v>Development, test and demo environment reference | Owner: Whole team | Synthetic sample data | Snapshot: 2026-08-13</x:v>
      </x:c>
      <x:c r="F2" s="21" t="str">
        <x:v>Development, test and demo environment reference | Owner: Whole team | Synthetic sample data | Snapshot: 2026-08-13</x:v>
      </x:c>
      <x:c r="G2" s="21" t="str">
        <x:v>Development, test and demo environment reference | Owner: Whole team | Synthetic sample data | Snapshot: 2026-08-13</x:v>
      </x:c>
    </x:row>
    <x:row r="4" ht="30" customHeight="1">
      <x:c r="A4" s="26" t="str">
        <x:v>environment_id</x:v>
      </x:c>
      <x:c r="B4" s="26" t="str">
        <x:v>name</x:v>
      </x:c>
      <x:c r="C4" s="26" t="str">
        <x:v>purpose</x:v>
      </x:c>
      <x:c r="D4" s="26" t="str">
        <x:v>base_url</x:v>
      </x:c>
      <x:c r="E4" s="26" t="str">
        <x:v>data_policy</x:v>
      </x:c>
      <x:c r="F4" s="26" t="str">
        <x:v>deployment_mode</x:v>
      </x:c>
      <x:c r="G4" s="26" t="str">
        <x:v>status</x:v>
      </x:c>
    </x:row>
    <x:row r="5" ht="24" customHeight="1">
      <x:c r="A5" s="31" t="str">
        <x:v>ENV-DEV</x:v>
      </x:c>
      <x:c r="B5" s="31" t="str">
        <x:v>Development</x:v>
      </x:c>
      <x:c r="C5" s="31" t="str">
        <x:v>Local team development</x:v>
      </x:c>
      <x:c r="D5" s="31" t="str">
        <x:v>https://dev.example.local</x:v>
      </x:c>
      <x:c r="E5" s="31" t="str">
        <x:v>SYNTHETIC_ONLY</x:v>
      </x:c>
      <x:c r="F5" s="31" t="str">
        <x:v>Docker Compose</x:v>
      </x:c>
      <x:c r="G5" s="31" t="str">
        <x:v>ACTIVE</x:v>
      </x:c>
    </x:row>
    <x:row r="6" ht="24" customHeight="1">
      <x:c r="A6" s="33" t="str">
        <x:v>ENV-TEST</x:v>
      </x:c>
      <x:c r="B6" s="33" t="str">
        <x:v>Integration Test</x:v>
      </x:c>
      <x:c r="C6" s="33" t="str">
        <x:v>End-to-end and mobile integration</x:v>
      </x:c>
      <x:c r="D6" s="33" t="str">
        <x:v>https://test.example.local</x:v>
      </x:c>
      <x:c r="E6" s="33" t="str">
        <x:v>SYNTHETIC_ONLY</x:v>
      </x:c>
      <x:c r="F6" s="33" t="str">
        <x:v>Docker Compose</x:v>
      </x:c>
      <x:c r="G6" s="33" t="str">
        <x:v>ACTIVE</x:v>
      </x:c>
    </x:row>
    <x:row r="7" ht="24" customHeight="1">
      <x:c r="A7" s="35" t="str">
        <x:v>ENV-DEMO</x:v>
      </x:c>
      <x:c r="B7" s="35" t="str">
        <x:v>Demo</x:v>
      </x:c>
      <x:c r="C7" s="35" t="str">
        <x:v>Week 10 final demonstration</x:v>
      </x:c>
      <x:c r="D7" s="35" t="str">
        <x:v>https://demo.example.local</x:v>
      </x:c>
      <x:c r="E7" s="35" t="str">
        <x:v>SYNTHETIC_ONLY</x:v>
      </x:c>
      <x:c r="F7" s="35" t="str">
        <x:v>Docker Compose</x:v>
      </x:c>
      <x:c r="G7" s="35" t="str">
        <x:v>PLANNED</x:v>
      </x:c>
    </x:row>
  </x:sheetData>
  <x:mergeCells>
    <x:mergeCell ref="A1:G1"/>
    <x:mergeCell ref="A2:G2"/>
  </x:mergeCells>
  <x:conditionalFormatting sqref="G5:G7">
    <x:cfRule type="containsText" dxfId="231" priority="1" operator="containsText" text="CRITICAL"/>
    <x:cfRule type="containsText" dxfId="232" priority="2" operator="containsText" text="EXPIRED"/>
    <x:cfRule type="containsText" dxfId="233" priority="3" operator="containsText" text="FAILED"/>
    <x:cfRule type="containsText" dxfId="234" priority="4" operator="containsText" text="OVERDUE"/>
    <x:cfRule type="containsText" dxfId="235" priority="5" operator="containsText" text="REJECTED"/>
    <x:cfRule type="containsText" dxfId="236" priority="6" operator="containsText" text="OUT_OF_SERVICE"/>
    <x:cfRule type="containsText" dxfId="237" priority="7" operator="containsText" text="BELOW_THRESHOLD"/>
    <x:cfRule type="containsText" dxfId="238" priority="8" operator="containsText" text="HIGH"/>
    <x:cfRule type="containsText" dxfId="239" priority="9" operator="containsText" text="WARNING"/>
    <x:cfRule type="containsText" dxfId="240" priority="10" operator="containsText" text="DUE_SOON"/>
    <x:cfRule type="containsText" dxfId="241" priority="11" operator="containsText" text="OPEN"/>
    <x:cfRule type="containsText" dxfId="242" priority="12" operator="containsText" text="PENDING"/>
    <x:cfRule type="containsText" dxfId="243" priority="13" operator="containsText" text="SUSPENDED"/>
    <x:cfRule type="containsText" dxfId="244" priority="14" operator="containsText" text="TESTING"/>
    <x:cfRule type="containsText" dxfId="245" priority="15" operator="containsText" text="PARTIAL_FAILURE"/>
    <x:cfRule type="containsText" dxfId="246" priority="16" operator="containsText" text="LOW_STOCK"/>
    <x:cfRule type="containsText" dxfId="247" priority="17" operator="containsText" text="ACTIVE"/>
    <x:cfRule type="containsText" dxfId="248" priority="18" operator="containsText" text="VALID"/>
    <x:cfRule type="containsText" dxfId="249" priority="19" operator="containsText" text="SUCCESS"/>
    <x:cfRule type="containsText" dxfId="250" priority="20" operator="containsText" text="COMPLETED"/>
    <x:cfRule type="containsText" dxfId="251" priority="21" operator="containsText" text="CLOSED"/>
    <x:cfRule type="containsText" dxfId="252" priority="22" operator="containsText" text="CONNECTED"/>
    <x:cfRule type="containsText" dxfId="253" priority="23" operator="containsText" text="NORMAL"/>
    <x:cfRule type="containsText" dxfId="254" priority="24" operator="containsText" text="VERIFIED"/>
    <x:cfRule type="containsText" dxfId="255" priority="25" operator="containsText" text="RESOLVED"/>
    <x:cfRule type="containsText" dxfId="256" priority="26" operator="containsText" text="PASS"/>
    <x:cfRule type="containsText" dxfId="257" priority="27" operator="containsText" text="OK"/>
    <x:cfRule type="containsText" dxfId="258" priority="28" operator="containsText" text="INFO"/>
    <x:cfRule type="containsText" dxfId="259" priority="29" operator="containsText" text="DRAFT"/>
    <x:cfRule type="containsText" dxfId="260" priority="30" operator="containsText" text="SCHEDULED"/>
    <x:cfRule type="containsText" dxfId="261" priority="31" operator="containsText" text="IN_PROGRESS"/>
    <x:cfRule type="containsText" dxfId="262" priority="32" operator="containsText" text="MODEL_REVIEW"/>
    <x:cfRule type="containsText" dxfId="263" priority="33" operator="containsText" text="READ"/>
  </x:conditionalFormatting>
  <x:dataValidations count="2">
    <x:dataValidation type="list" sqref="E5:E7">
      <x:formula1>"SYNTHETIC_ONLY"</x:formula1>
    </x:dataValidation>
    <x:dataValidation type="list" sqref="G5:G7">
      <x:formula1>"ACTIVE,PLANNED,RETIRED"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d15cec3e824c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34" hidden="0" customWidth="1"/>
    <x:col min="4" max="4" width="18" hidden="0" customWidth="1"/>
  </x:cols>
  <x:sheetData>
    <x:row r="1" ht="32" customHeight="1">
      <x:c r="A1" s="17" t="str">
        <x:v>ESCA HSE | Package_Index</x:v>
      </x:c>
      <x:c r="B1" s="17" t="str">
        <x:v>ESCA HSE | Package_Index</x:v>
      </x:c>
      <x:c r="C1" s="17" t="str">
        <x:v>ESCA HSE | Package_Index</x:v>
      </x:c>
      <x:c r="D1" s="17" t="str">
        <x:v>ESCA HSE | Package_Index</x:v>
      </x:c>
    </x:row>
    <x:row r="2" ht="28" customHeight="1">
      <x:c r="A2" s="21" t="str">
        <x:v>Package file index | Owner: Whole team | Synthetic sample data | Snapshot: 2026-08-13</x:v>
      </x:c>
      <x:c r="B2" s="21" t="str">
        <x:v>Package file index | Owner: Whole team | Synthetic sample data | Snapshot: 2026-08-13</x:v>
      </x:c>
      <x:c r="C2" s="21" t="str">
        <x:v>Package file index | Owner: Whole team | Synthetic sample data | Snapshot: 2026-08-13</x:v>
      </x:c>
      <x:c r="D2" s="21" t="str">
        <x:v>Package file index | Owner: Whole team | Synthetic sample data | Snapshot: 2026-08-13</x:v>
      </x:c>
    </x:row>
    <x:row r="4" ht="30" customHeight="1">
      <x:c r="A4" s="26" t="str">
        <x:v>file_name</x:v>
      </x:c>
      <x:c r="B4" s="26" t="str">
        <x:v>workbook_role</x:v>
      </x:c>
      <x:c r="C4" s="26" t="str">
        <x:v>contents</x:v>
      </x:c>
      <x:c r="D4" s="26" t="str">
        <x:v>primary_users</x:v>
      </x:c>
    </x:row>
    <x:row r="5" ht="24" customHeight="1">
      <x:c r="A5" s="31" t="str">
        <x:v>ESCA_HSE_01_Master_Data_and_Dictionary.xlsx</x:v>
      </x:c>
      <x:c r="B5" s="31" t="str">
        <x:v>Reference contract</x:v>
      </x:c>
      <x:c r="C5" s="49" t="str">
        <x:v>Dictionary, statuses, relationships, departments, zones, employees, users, RBAC, architecture services and environments</x:v>
      </x:c>
      <x:c r="D5" s="31" t="str">
        <x:v>Whole team</x:v>
      </x:c>
    </x:row>
    <x:row r="6" ht="24" customHeight="1">
      <x:c r="A6" s="33" t="str">
        <x:v>ESCA_HSE_02_Core_Operations_Sample_Data.xlsx</x:v>
      </x:c>
      <x:c r="B6" s="33" t="str">
        <x:v>Core HSE workflows</x:v>
      </x:c>
      <x:c r="C6" s="50" t="str">
        <x:v>Incidents, RCA, inspections/checklists, CAPA, HIRA, JSA, PTW/checklists/gas tests, approvals, SIMOPS, reports and KPIs</x:v>
      </x:c>
      <x:c r="D6" s="33" t="str">
        <x:v>Members 1, 2, 3, 4</x:v>
      </x:c>
    </x:row>
    <x:row r="7" ht="24" customHeight="1">
      <x:c r="A7" s="33" t="str">
        <x:v>ESCA_HSE_03_Assets_Training_Health_Sample_Data.xlsx</x:v>
      </x:c>
      <x:c r="B7" s="33" t="str">
        <x:v>Operational support</x:v>
      </x:c>
      <x:c r="C7" s="50" t="str">
        <x:v>Training requirements/certificates, PPE stock and movements, fixed safety assets, fire, HazMat, SDS, exposures and occupational health</x:v>
      </x:c>
      <x:c r="D7" s="33" t="str">
        <x:v>Members 2, 3, 4, 6</x:v>
      </x:c>
    </x:row>
    <x:row r="8" ht="24" customHeight="1">
      <x:c r="A8" s="35" t="str">
        <x:v>ESCA_HSE_04_AI_IoT_Integrations_Audit_Sample_Data.xlsx</x:v>
      </x:c>
      <x:c r="B8" s="35" t="str">
        <x:v>Digital and control evidence</x:v>
      </x:c>
      <x:c r="C8" s="51" t="str">
        <x:v>AI models/events, IoT, wearables, admin Q&amp;A, integrations/outbox, notifications, security, audit and automation actions</x:v>
      </x:c>
      <x:c r="D8" s="35" t="str">
        <x:v>Members 1, 2, 3, 4, 5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6029197e35b47a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34" hidden="0" customWidth="1"/>
    <x:col min="7" max="7" width="34" hidden="0" customWidth="1"/>
    <x:col min="8" max="8" width="18" hidden="0" customWidth="1"/>
    <x:col min="9" max="9" width="34" hidden="0" customWidth="1"/>
    <x:col min="10" max="10" width="18" hidden="0" customWidth="1"/>
    <x:col min="11" max="11" width="18" hidden="0" customWidth="1"/>
  </x:cols>
  <x:sheetData>
    <x:row r="1" ht="32" customHeight="1">
      <x:c r="A1" s="17" t="str">
        <x:v>ESCA HSE | Data_Dictionary</x:v>
      </x:c>
      <x:c r="B1" s="17" t="str">
        <x:v>ESCA HSE | Data_Dictionary</x:v>
      </x:c>
      <x:c r="C1" s="17" t="str">
        <x:v>ESCA HSE | Data_Dictionary</x:v>
      </x:c>
      <x:c r="D1" s="17" t="str">
        <x:v>ESCA HSE | Data_Dictionary</x:v>
      </x:c>
      <x:c r="E1" s="17" t="str">
        <x:v>ESCA HSE | Data_Dictionary</x:v>
      </x:c>
      <x:c r="F1" s="17" t="str">
        <x:v>ESCA HSE | Data_Dictionary</x:v>
      </x:c>
      <x:c r="G1" s="17" t="str">
        <x:v>ESCA HSE | Data_Dictionary</x:v>
      </x:c>
      <x:c r="H1" s="17" t="str">
        <x:v>ESCA HSE | Data_Dictionary</x:v>
      </x:c>
      <x:c r="I1" s="17" t="str">
        <x:v>ESCA HSE | Data_Dictionary</x:v>
      </x:c>
      <x:c r="J1" s="17" t="str">
        <x:v>ESCA HSE | Data_Dictionary</x:v>
      </x:c>
      <x:c r="K1" s="17" t="str">
        <x:v>ESCA HSE | Data_Dictionary</x:v>
      </x:c>
    </x:row>
    <x:row r="2" ht="28" customHeight="1">
      <x:c r="A2" s="21" t="str">
        <x:v>Field-level schema definitions for all workbooks | Owner: Member 1 + Member 2 | Synthetic sample data | Snapshot: 2026-08-13</x:v>
      </x:c>
      <x:c r="B2" s="21" t="str">
        <x:v>Field-level schema definitions for all workbooks | Owner: Member 1 + Member 2 | Synthetic sample data | Snapshot: 2026-08-13</x:v>
      </x:c>
      <x:c r="C2" s="21" t="str">
        <x:v>Field-level schema definitions for all workbooks | Owner: Member 1 + Member 2 | Synthetic sample data | Snapshot: 2026-08-13</x:v>
      </x:c>
      <x:c r="D2" s="21" t="str">
        <x:v>Field-level schema definitions for all workbooks | Owner: Member 1 + Member 2 | Synthetic sample data | Snapshot: 2026-08-13</x:v>
      </x:c>
      <x:c r="E2" s="21" t="str">
        <x:v>Field-level schema definitions for all workbooks | Owner: Member 1 + Member 2 | Synthetic sample data | Snapshot: 2026-08-13</x:v>
      </x:c>
      <x:c r="F2" s="21" t="str">
        <x:v>Field-level schema definitions for all workbooks | Owner: Member 1 + Member 2 | Synthetic sample data | Snapshot: 2026-08-13</x:v>
      </x:c>
      <x:c r="G2" s="21" t="str">
        <x:v>Field-level schema definitions for all workbooks | Owner: Member 1 + Member 2 | Synthetic sample data | Snapshot: 2026-08-13</x:v>
      </x:c>
      <x:c r="H2" s="21" t="str">
        <x:v>Field-level schema definitions for all workbooks | Owner: Member 1 + Member 2 | Synthetic sample data | Snapshot: 2026-08-13</x:v>
      </x:c>
      <x:c r="I2" s="21" t="str">
        <x:v>Field-level schema definitions for all workbooks | Owner: Member 1 + Member 2 | Synthetic sample data | Snapshot: 2026-08-13</x:v>
      </x:c>
      <x:c r="J2" s="21" t="str">
        <x:v>Field-level schema definitions for all workbooks | Owner: Member 1 + Member 2 | Synthetic sample data | Snapshot: 2026-08-13</x:v>
      </x:c>
      <x:c r="K2" s="21" t="str">
        <x:v>Field-level schema definitions for all workbooks | Owner: Member 1 + Member 2 | Synthetic sample data | Snapshot: 2026-08-13</x:v>
      </x:c>
    </x:row>
    <x:row r="4" ht="30" customHeight="1">
      <x:c r="A4" s="26" t="str">
        <x:v>workbook</x:v>
      </x:c>
      <x:c r="B4" s="26" t="str">
        <x:v>sheet</x:v>
      </x:c>
      <x:c r="C4" s="26" t="str">
        <x:v>field</x:v>
      </x:c>
      <x:c r="D4" s="26" t="str">
        <x:v>data_type</x:v>
      </x:c>
      <x:c r="E4" s="26" t="str">
        <x:v>required</x:v>
      </x:c>
      <x:c r="F4" s="26" t="str">
        <x:v>key_or_reference</x:v>
      </x:c>
      <x:c r="G4" s="26" t="str">
        <x:v>description</x:v>
      </x:c>
      <x:c r="H4" s="26" t="str">
        <x:v>example</x:v>
      </x:c>
      <x:c r="I4" s="26" t="str">
        <x:v>allowed_values</x:v>
      </x:c>
      <x:c r="J4" s="26" t="str">
        <x:v>sensitivity</x:v>
      </x:c>
      <x:c r="K4" s="26" t="str">
        <x:v>owner</x:v>
      </x:c>
    </x:row>
    <x:row r="5" ht="24" customHeight="1">
      <x:c r="A5" s="31" t="str">
        <x:v>ESCA_HSE_01_Master_Data_and_Dictionary.xlsx</x:v>
      </x:c>
      <x:c r="B5" s="31" t="str">
        <x:v>Departments</x:v>
      </x:c>
      <x:c r="C5" s="31" t="str">
        <x:v>department_id</x:v>
      </x:c>
      <x:c r="D5" s="31" t="str">
        <x:v>id</x:v>
      </x:c>
      <x:c r="E5" s="32" t="b">
        <x:v>1</x:v>
      </x:c>
      <x:c r="F5" s="31" t="str">
        <x:v>PK</x:v>
      </x:c>
      <x:c r="G5" s="49" t="str">
        <x:v>Unique department identifier</x:v>
      </x:c>
      <x:c r="H5" s="31" t="str">
        <x:v>DEP-PROD-A</x:v>
      </x:c>
      <x:c r="I5" s="49" t="str"/>
      <x:c r="J5" s="31" t="str">
        <x:v>INTERNAL_SAMPLE</x:v>
      </x:c>
      <x:c r="K5" s="31" t="str">
        <x:v>Member 2</x:v>
      </x:c>
    </x:row>
    <x:row r="6" ht="24" customHeight="1">
      <x:c r="A6" s="33" t="str">
        <x:v>ESCA_HSE_01_Master_Data_and_Dictionary.xlsx</x:v>
      </x:c>
      <x:c r="B6" s="33" t="str">
        <x:v>Departments</x:v>
      </x:c>
      <x:c r="C6" s="33" t="str">
        <x:v>name_ar</x:v>
      </x:c>
      <x:c r="D6" s="33" t="str">
        <x:v>text</x:v>
      </x:c>
      <x:c r="E6" s="34" t="b">
        <x:v>1</x:v>
      </x:c>
      <x:c r="F6" s="33" t="str"/>
      <x:c r="G6" s="50" t="str">
        <x:v>Arabic department name</x:v>
      </x:c>
      <x:c r="H6" s="33" t="str">
        <x:v>الإنتاج A</x:v>
      </x:c>
      <x:c r="I6" s="50" t="str"/>
      <x:c r="J6" s="33" t="str">
        <x:v>INTERNAL_SAMPLE</x:v>
      </x:c>
      <x:c r="K6" s="33" t="str">
        <x:v>Member 2</x:v>
      </x:c>
    </x:row>
    <x:row r="7" ht="24" customHeight="1">
      <x:c r="A7" s="33" t="str">
        <x:v>ESCA_HSE_01_Master_Data_and_Dictionary.xlsx</x:v>
      </x:c>
      <x:c r="B7" s="33" t="str">
        <x:v>Departments</x:v>
      </x:c>
      <x:c r="C7" s="33" t="str">
        <x:v>name_en</x:v>
      </x:c>
      <x:c r="D7" s="33" t="str">
        <x:v>text</x:v>
      </x:c>
      <x:c r="E7" s="34" t="b">
        <x:v>1</x:v>
      </x:c>
      <x:c r="F7" s="33" t="str"/>
      <x:c r="G7" s="50" t="str">
        <x:v>English department name</x:v>
      </x:c>
      <x:c r="H7" s="33" t="str">
        <x:v>Production A</x:v>
      </x:c>
      <x:c r="I7" s="50" t="str"/>
      <x:c r="J7" s="33" t="str">
        <x:v>INTERNAL_SAMPLE</x:v>
      </x:c>
      <x:c r="K7" s="33" t="str">
        <x:v>Member 2</x:v>
      </x:c>
    </x:row>
    <x:row r="8" ht="24" customHeight="1">
      <x:c r="A8" s="33" t="str">
        <x:v>ESCA_HSE_01_Master_Data_and_Dictionary.xlsx</x:v>
      </x:c>
      <x:c r="B8" s="33" t="str">
        <x:v>Departments</x:v>
      </x:c>
      <x:c r="C8" s="33" t="str">
        <x:v>department_type</x:v>
      </x:c>
      <x:c r="D8" s="33" t="str">
        <x:v>enum</x:v>
      </x:c>
      <x:c r="E8" s="34" t="b">
        <x:v>1</x:v>
      </x:c>
      <x:c r="F8" s="33" t="str"/>
      <x:c r="G8" s="50" t="str">
        <x:v>Functional classification</x:v>
      </x:c>
      <x:c r="H8" s="33" t="str">
        <x:v>PRODUCTION</x:v>
      </x:c>
      <x:c r="I8" s="50" t="str">
        <x:v>PRODUCTION | OPERATIONS | TECHNICAL | ADMIN | CONTROL | HEALTH</x:v>
      </x:c>
      <x:c r="J8" s="33" t="str">
        <x:v>INTERNAL_SAMPLE</x:v>
      </x:c>
      <x:c r="K8" s="33" t="str">
        <x:v>Member 2</x:v>
      </x:c>
    </x:row>
    <x:row r="9" ht="24" customHeight="1">
      <x:c r="A9" s="33" t="str">
        <x:v>ESCA_HSE_01_Master_Data_and_Dictionary.xlsx</x:v>
      </x:c>
      <x:c r="B9" s="33" t="str">
        <x:v>Departments</x:v>
      </x:c>
      <x:c r="C9" s="33" t="str">
        <x:v>manager_employee_id</x:v>
      </x:c>
      <x:c r="D9" s="33" t="str">
        <x:v>id</x:v>
      </x:c>
      <x:c r="E9" s="34" t="b">
        <x:v>1</x:v>
      </x:c>
      <x:c r="F9" s="33" t="str">
        <x:v>FK -&gt; Employees.employee_id</x:v>
      </x:c>
      <x:c r="G9" s="50" t="str">
        <x:v>Department manager employee</x:v>
      </x:c>
      <x:c r="H9" s="33" t="str">
        <x:v>EMP-001</x:v>
      </x:c>
      <x:c r="I9" s="50" t="str"/>
      <x:c r="J9" s="33" t="str">
        <x:v>INTERNAL_SAMPLE</x:v>
      </x:c>
      <x:c r="K9" s="33" t="str">
        <x:v>Member 2</x:v>
      </x:c>
    </x:row>
    <x:row r="10" ht="24" customHeight="1">
      <x:c r="A10" s="33" t="str">
        <x:v>ESCA_HSE_01_Master_Data_and_Dictionary.xlsx</x:v>
      </x:c>
      <x:c r="B10" s="33" t="str">
        <x:v>Departments</x:v>
      </x:c>
      <x:c r="C10" s="33" t="str">
        <x:v>hse_contact_id</x:v>
      </x:c>
      <x:c r="D10" s="33" t="str">
        <x:v>id</x:v>
      </x:c>
      <x:c r="E10" s="34" t="b">
        <x:v>1</x:v>
      </x:c>
      <x:c r="F10" s="33" t="str">
        <x:v>FK -&gt; Employees.employee_id</x:v>
      </x:c>
      <x:c r="G10" s="50" t="str">
        <x:v>Assigned HSE contact</x:v>
      </x:c>
      <x:c r="H10" s="33" t="str">
        <x:v>EMP-010</x:v>
      </x:c>
      <x:c r="I10" s="50" t="str"/>
      <x:c r="J10" s="33" t="str">
        <x:v>INTERNAL_SAMPLE</x:v>
      </x:c>
      <x:c r="K10" s="33" t="str">
        <x:v>Member 2</x:v>
      </x:c>
    </x:row>
    <x:row r="11" ht="24" customHeight="1">
      <x:c r="A11" s="33" t="str">
        <x:v>ESCA_HSE_01_Master_Data_and_Dictionary.xlsx</x:v>
      </x:c>
      <x:c r="B11" s="33" t="str">
        <x:v>Departments</x:v>
      </x:c>
      <x:c r="C11" s="33" t="str">
        <x:v>active_flag</x:v>
      </x:c>
      <x:c r="D11" s="33" t="str">
        <x:v>boolean</x:v>
      </x:c>
      <x:c r="E11" s="34" t="b">
        <x:v>1</x:v>
      </x:c>
      <x:c r="F11" s="33" t="str"/>
      <x:c r="G11" s="50" t="str">
        <x:v>Whether department is active</x:v>
      </x:c>
      <x:c r="H11" s="33" t="str">
        <x:v>true</x:v>
      </x:c>
      <x:c r="I11" s="50" t="str"/>
      <x:c r="J11" s="33" t="str">
        <x:v>INTERNAL_SAMPLE</x:v>
      </x:c>
      <x:c r="K11" s="33" t="str">
        <x:v>Member 2</x:v>
      </x:c>
    </x:row>
    <x:row r="12" ht="24" customHeight="1">
      <x:c r="A12" s="33" t="str">
        <x:v>ESCA_HSE_01_Master_Data_and_Dictionary.xlsx</x:v>
      </x:c>
      <x:c r="B12" s="33" t="str">
        <x:v>Zones</x:v>
      </x:c>
      <x:c r="C12" s="33" t="str">
        <x:v>zone_id</x:v>
      </x:c>
      <x:c r="D12" s="33" t="str">
        <x:v>id</x:v>
      </x:c>
      <x:c r="E12" s="34" t="b">
        <x:v>1</x:v>
      </x:c>
      <x:c r="F12" s="33" t="str">
        <x:v>PK</x:v>
      </x:c>
      <x:c r="G12" s="50" t="str">
        <x:v>Unique zone identifier</x:v>
      </x:c>
      <x:c r="H12" s="33" t="str">
        <x:v>ZN-A1</x:v>
      </x:c>
      <x:c r="I12" s="50" t="str"/>
      <x:c r="J12" s="33" t="str">
        <x:v>INTERNAL_SAMPLE</x:v>
      </x:c>
      <x:c r="K12" s="33" t="str">
        <x:v>Member 2</x:v>
      </x:c>
    </x:row>
    <x:row r="13" ht="24" customHeight="1">
      <x:c r="A13" s="33" t="str">
        <x:v>ESCA_HSE_01_Master_Data_and_Dictionary.xlsx</x:v>
      </x:c>
      <x:c r="B13" s="33" t="str">
        <x:v>Zones</x:v>
      </x:c>
      <x:c r="C13" s="33" t="str">
        <x:v>department_id</x:v>
      </x:c>
      <x:c r="D13" s="33" t="str">
        <x:v>id</x:v>
      </x:c>
      <x:c r="E13" s="34" t="b">
        <x:v>1</x:v>
      </x:c>
      <x:c r="F13" s="33" t="str">
        <x:v>FK -&gt; Departments.department_id</x:v>
      </x:c>
      <x:c r="G13" s="50" t="str">
        <x:v>Owning department</x:v>
      </x:c>
      <x:c r="H13" s="33" t="str">
        <x:v>DEP-PROD-A</x:v>
      </x:c>
      <x:c r="I13" s="50" t="str"/>
      <x:c r="J13" s="33" t="str">
        <x:v>INTERNAL_SAMPLE</x:v>
      </x:c>
      <x:c r="K13" s="33" t="str">
        <x:v>Member 2</x:v>
      </x:c>
    </x:row>
    <x:row r="14" ht="24" customHeight="1">
      <x:c r="A14" s="33" t="str">
        <x:v>ESCA_HSE_01_Master_Data_and_Dictionary.xlsx</x:v>
      </x:c>
      <x:c r="B14" s="33" t="str">
        <x:v>Zones</x:v>
      </x:c>
      <x:c r="C14" s="33" t="str">
        <x:v>name_ar</x:v>
      </x:c>
      <x:c r="D14" s="33" t="str">
        <x:v>text</x:v>
      </x:c>
      <x:c r="E14" s="34" t="b">
        <x:v>1</x:v>
      </x:c>
      <x:c r="F14" s="33" t="str"/>
      <x:c r="G14" s="50" t="str">
        <x:v>Arabic zone name</x:v>
      </x:c>
      <x:c r="H14" s="33" t="str">
        <x:v>خط الإنتاج A1</x:v>
      </x:c>
      <x:c r="I14" s="50" t="str"/>
      <x:c r="J14" s="33" t="str">
        <x:v>INTERNAL_SAMPLE</x:v>
      </x:c>
      <x:c r="K14" s="33" t="str">
        <x:v>Member 2</x:v>
      </x:c>
    </x:row>
    <x:row r="15" ht="24" customHeight="1">
      <x:c r="A15" s="33" t="str">
        <x:v>ESCA_HSE_01_Master_Data_and_Dictionary.xlsx</x:v>
      </x:c>
      <x:c r="B15" s="33" t="str">
        <x:v>Zones</x:v>
      </x:c>
      <x:c r="C15" s="33" t="str">
        <x:v>name_en</x:v>
      </x:c>
      <x:c r="D15" s="33" t="str">
        <x:v>text</x:v>
      </x:c>
      <x:c r="E15" s="34" t="b">
        <x:v>1</x:v>
      </x:c>
      <x:c r="F15" s="33" t="str"/>
      <x:c r="G15" s="50" t="str">
        <x:v>English zone name</x:v>
      </x:c>
      <x:c r="H15" s="33" t="str">
        <x:v>Production Line A1</x:v>
      </x:c>
      <x:c r="I15" s="50" t="str"/>
      <x:c r="J15" s="33" t="str">
        <x:v>INTERNAL_SAMPLE</x:v>
      </x:c>
      <x:c r="K15" s="33" t="str">
        <x:v>Member 2</x:v>
      </x:c>
    </x:row>
    <x:row r="16" ht="24" customHeight="1">
      <x:c r="A16" s="33" t="str">
        <x:v>ESCA_HSE_01_Master_Data_and_Dictionary.xlsx</x:v>
      </x:c>
      <x:c r="B16" s="33" t="str">
        <x:v>Zones</x:v>
      </x:c>
      <x:c r="C16" s="33" t="str">
        <x:v>zone_type</x:v>
      </x:c>
      <x:c r="D16" s="33" t="str">
        <x:v>enum</x:v>
      </x:c>
      <x:c r="E16" s="34" t="b">
        <x:v>1</x:v>
      </x:c>
      <x:c r="F16" s="33" t="str"/>
      <x:c r="G16" s="50" t="str">
        <x:v>Physical or operational zone type</x:v>
      </x:c>
      <x:c r="H16" s="33" t="str">
        <x:v>PRODUCTION_LINE</x:v>
      </x:c>
      <x:c r="I16" s="50" t="str"/>
      <x:c r="J16" s="33" t="str">
        <x:v>INTERNAL_SAMPLE</x:v>
      </x:c>
      <x:c r="K16" s="33" t="str">
        <x:v>Member 2</x:v>
      </x:c>
    </x:row>
    <x:row r="17" ht="24" customHeight="1">
      <x:c r="A17" s="33" t="str">
        <x:v>ESCA_HSE_01_Master_Data_and_Dictionary.xlsx</x:v>
      </x:c>
      <x:c r="B17" s="33" t="str">
        <x:v>Zones</x:v>
      </x:c>
      <x:c r="C17" s="33" t="str">
        <x:v>risk_class</x:v>
      </x:c>
      <x:c r="D17" s="33" t="str">
        <x:v>enum</x:v>
      </x:c>
      <x:c r="E17" s="34" t="b">
        <x:v>1</x:v>
      </x:c>
      <x:c r="F17" s="33" t="str"/>
      <x:c r="G17" s="50" t="str">
        <x:v>Default zone risk class</x:v>
      </x:c>
      <x:c r="H17" s="33" t="str">
        <x:v>HIGH</x:v>
      </x:c>
      <x:c r="I17" s="50" t="str">
        <x:v>LOW | MEDIUM | HIGH | CRITICAL</x:v>
      </x:c>
      <x:c r="J17" s="33" t="str">
        <x:v>INTERNAL_SAMPLE</x:v>
      </x:c>
      <x:c r="K17" s="33" t="str">
        <x:v>Member 2</x:v>
      </x:c>
    </x:row>
    <x:row r="18" ht="24" customHeight="1">
      <x:c r="A18" s="33" t="str">
        <x:v>ESCA_HSE_01_Master_Data_and_Dictionary.xlsx</x:v>
      </x:c>
      <x:c r="B18" s="33" t="str">
        <x:v>Zones</x:v>
      </x:c>
      <x:c r="C18" s="33" t="str">
        <x:v>max_occupancy</x:v>
      </x:c>
      <x:c r="D18" s="33" t="str">
        <x:v>integer</x:v>
      </x:c>
      <x:c r="E18" s="34" t="b">
        <x:v>1</x:v>
      </x:c>
      <x:c r="F18" s="33" t="str"/>
      <x:c r="G18" s="50" t="str">
        <x:v>Nominal maximum occupancy</x:v>
      </x:c>
      <x:c r="H18" s="33" t="str">
        <x:v>64</x:v>
      </x:c>
      <x:c r="I18" s="50" t="str"/>
      <x:c r="J18" s="33" t="str">
        <x:v>INTERNAL_SAMPLE</x:v>
      </x:c>
      <x:c r="K18" s="33" t="str">
        <x:v>Member 2</x:v>
      </x:c>
    </x:row>
    <x:row r="19" ht="24" customHeight="1">
      <x:c r="A19" s="33" t="str">
        <x:v>ESCA_HSE_01_Master_Data_and_Dictionary.xlsx</x:v>
      </x:c>
      <x:c r="B19" s="33" t="str">
        <x:v>Zones</x:v>
      </x:c>
      <x:c r="C19" s="33" t="str">
        <x:v>active_flag</x:v>
      </x:c>
      <x:c r="D19" s="33" t="str">
        <x:v>boolean</x:v>
      </x:c>
      <x:c r="E19" s="34" t="b">
        <x:v>1</x:v>
      </x:c>
      <x:c r="F19" s="33" t="str"/>
      <x:c r="G19" s="50" t="str">
        <x:v>Whether zone is active</x:v>
      </x:c>
      <x:c r="H19" s="33" t="str">
        <x:v>true</x:v>
      </x:c>
      <x:c r="I19" s="50" t="str"/>
      <x:c r="J19" s="33" t="str">
        <x:v>INTERNAL_SAMPLE</x:v>
      </x:c>
      <x:c r="K19" s="33" t="str">
        <x:v>Member 2</x:v>
      </x:c>
    </x:row>
    <x:row r="20" ht="24" customHeight="1">
      <x:c r="A20" s="33" t="str">
        <x:v>ESCA_HSE_01_Master_Data_and_Dictionary.xlsx</x:v>
      </x:c>
      <x:c r="B20" s="33" t="str">
        <x:v>Employees</x:v>
      </x:c>
      <x:c r="C20" s="33" t="str">
        <x:v>employee_id</x:v>
      </x:c>
      <x:c r="D20" s="33" t="str">
        <x:v>id</x:v>
      </x:c>
      <x:c r="E20" s="34" t="b">
        <x:v>1</x:v>
      </x:c>
      <x:c r="F20" s="33" t="str">
        <x:v>PK</x:v>
      </x:c>
      <x:c r="G20" s="50" t="str">
        <x:v>Synthetic employee identifier</x:v>
      </x:c>
      <x:c r="H20" s="33" t="str">
        <x:v>EMP-001</x:v>
      </x:c>
      <x:c r="I20" s="50" t="str"/>
      <x:c r="J20" s="33" t="str">
        <x:v>INTERNAL_SAMPLE</x:v>
      </x:c>
      <x:c r="K20" s="33" t="str">
        <x:v>Member 2</x:v>
      </x:c>
    </x:row>
    <x:row r="21" ht="24" customHeight="1">
      <x:c r="A21" s="33" t="str">
        <x:v>ESCA_HSE_01_Master_Data_and_Dictionary.xlsx</x:v>
      </x:c>
      <x:c r="B21" s="33" t="str">
        <x:v>Employees</x:v>
      </x:c>
      <x:c r="C21" s="33" t="str">
        <x:v>display_name</x:v>
      </x:c>
      <x:c r="D21" s="33" t="str">
        <x:v>text</x:v>
      </x:c>
      <x:c r="E21" s="34" t="b">
        <x:v>1</x:v>
      </x:c>
      <x:c r="F21" s="33" t="str"/>
      <x:c r="G21" s="50" t="str">
        <x:v>Synthetic display name</x:v>
      </x:c>
      <x:c r="H21" s="33" t="str">
        <x:v>موظف تجريبي 001</x:v>
      </x:c>
      <x:c r="I21" s="50" t="str"/>
      <x:c r="J21" s="33" t="str">
        <x:v>INTERNAL_SAMPLE</x:v>
      </x:c>
      <x:c r="K21" s="33" t="str">
        <x:v>Member 2</x:v>
      </x:c>
    </x:row>
    <x:row r="22" ht="24" customHeight="1">
      <x:c r="A22" s="33" t="str">
        <x:v>ESCA_HSE_01_Master_Data_and_Dictionary.xlsx</x:v>
      </x:c>
      <x:c r="B22" s="33" t="str">
        <x:v>Employees</x:v>
      </x:c>
      <x:c r="C22" s="33" t="str">
        <x:v>department_id</x:v>
      </x:c>
      <x:c r="D22" s="33" t="str">
        <x:v>id</x:v>
      </x:c>
      <x:c r="E22" s="34" t="b">
        <x:v>1</x:v>
      </x:c>
      <x:c r="F22" s="33" t="str">
        <x:v>FK -&gt; Departments.department_id</x:v>
      </x:c>
      <x:c r="G22" s="50" t="str">
        <x:v>Home department</x:v>
      </x:c>
      <x:c r="H22" s="33" t="str">
        <x:v>DEP-PROD-A</x:v>
      </x:c>
      <x:c r="I22" s="50" t="str"/>
      <x:c r="J22" s="33" t="str">
        <x:v>INTERNAL_SAMPLE</x:v>
      </x:c>
      <x:c r="K22" s="33" t="str">
        <x:v>Member 2</x:v>
      </x:c>
    </x:row>
    <x:row r="23" ht="24" customHeight="1">
      <x:c r="A23" s="33" t="str">
        <x:v>ESCA_HSE_01_Master_Data_and_Dictionary.xlsx</x:v>
      </x:c>
      <x:c r="B23" s="33" t="str">
        <x:v>Employees</x:v>
      </x:c>
      <x:c r="C23" s="33" t="str">
        <x:v>zone_id</x:v>
      </x:c>
      <x:c r="D23" s="33" t="str">
        <x:v>id</x:v>
      </x:c>
      <x:c r="E23" s="34" t="b">
        <x:v>1</x:v>
      </x:c>
      <x:c r="F23" s="33" t="str">
        <x:v>FK -&gt; Zones.zone_id</x:v>
      </x:c>
      <x:c r="G23" s="50" t="str">
        <x:v>Primary work zone</x:v>
      </x:c>
      <x:c r="H23" s="33" t="str">
        <x:v>ZN-A1</x:v>
      </x:c>
      <x:c r="I23" s="50" t="str"/>
      <x:c r="J23" s="33" t="str">
        <x:v>INTERNAL_SAMPLE</x:v>
      </x:c>
      <x:c r="K23" s="33" t="str">
        <x:v>Member 2</x:v>
      </x:c>
    </x:row>
    <x:row r="24" ht="24" customHeight="1">
      <x:c r="A24" s="33" t="str">
        <x:v>ESCA_HSE_01_Master_Data_and_Dictionary.xlsx</x:v>
      </x:c>
      <x:c r="B24" s="33" t="str">
        <x:v>Employees</x:v>
      </x:c>
      <x:c r="C24" s="33" t="str">
        <x:v>job_title</x:v>
      </x:c>
      <x:c r="D24" s="33" t="str">
        <x:v>text</x:v>
      </x:c>
      <x:c r="E24" s="34" t="b">
        <x:v>1</x:v>
      </x:c>
      <x:c r="F24" s="33" t="str"/>
      <x:c r="G24" s="50" t="str">
        <x:v>Job title</x:v>
      </x:c>
      <x:c r="H24" s="33" t="str">
        <x:v>Production Manager</x:v>
      </x:c>
      <x:c r="I24" s="50" t="str"/>
      <x:c r="J24" s="33" t="str">
        <x:v>INTERNAL_SAMPLE</x:v>
      </x:c>
      <x:c r="K24" s="33" t="str">
        <x:v>Member 2</x:v>
      </x:c>
    </x:row>
    <x:row r="25" ht="24" customHeight="1">
      <x:c r="A25" s="33" t="str">
        <x:v>ESCA_HSE_01_Master_Data_and_Dictionary.xlsx</x:v>
      </x:c>
      <x:c r="B25" s="33" t="str">
        <x:v>Employees</x:v>
      </x:c>
      <x:c r="C25" s="33" t="str">
        <x:v>manager_id</x:v>
      </x:c>
      <x:c r="D25" s="33" t="str">
        <x:v>id</x:v>
      </x:c>
      <x:c r="E25" s="34" t="b">
        <x:v>0</x:v>
      </x:c>
      <x:c r="F25" s="33" t="str">
        <x:v>FK -&gt; Employees.employee_id</x:v>
      </x:c>
      <x:c r="G25" s="50" t="str">
        <x:v>Line manager</x:v>
      </x:c>
      <x:c r="H25" s="33" t="str">
        <x:v>EMP-008</x:v>
      </x:c>
      <x:c r="I25" s="50" t="str"/>
      <x:c r="J25" s="33" t="str">
        <x:v>INTERNAL_SAMPLE</x:v>
      </x:c>
      <x:c r="K25" s="33" t="str">
        <x:v>Member 2</x:v>
      </x:c>
    </x:row>
    <x:row r="26" ht="24" customHeight="1">
      <x:c r="A26" s="33" t="str">
        <x:v>ESCA_HSE_01_Master_Data_and_Dictionary.xlsx</x:v>
      </x:c>
      <x:c r="B26" s="33" t="str">
        <x:v>Employees</x:v>
      </x:c>
      <x:c r="C26" s="33" t="str">
        <x:v>employment_type</x:v>
      </x:c>
      <x:c r="D26" s="33" t="str">
        <x:v>enum</x:v>
      </x:c>
      <x:c r="E26" s="34" t="b">
        <x:v>1</x:v>
      </x:c>
      <x:c r="F26" s="33" t="str"/>
      <x:c r="G26" s="50" t="str">
        <x:v>Employment category</x:v>
      </x:c>
      <x:c r="H26" s="33" t="str">
        <x:v>FULL_TIME</x:v>
      </x:c>
      <x:c r="I26" s="50" t="str">
        <x:v>FULL_TIME | CONTRACTOR</x:v>
      </x:c>
      <x:c r="J26" s="33" t="str">
        <x:v>INTERNAL_SAMPLE</x:v>
      </x:c>
      <x:c r="K26" s="33" t="str">
        <x:v>Member 2</x:v>
      </x:c>
    </x:row>
    <x:row r="27" ht="24" customHeight="1">
      <x:c r="A27" s="33" t="str">
        <x:v>ESCA_HSE_01_Master_Data_and_Dictionary.xlsx</x:v>
      </x:c>
      <x:c r="B27" s="33" t="str">
        <x:v>Employees</x:v>
      </x:c>
      <x:c r="C27" s="33" t="str">
        <x:v>hire_date</x:v>
      </x:c>
      <x:c r="D27" s="33" t="str">
        <x:v>date</x:v>
      </x:c>
      <x:c r="E27" s="34" t="b">
        <x:v>1</x:v>
      </x:c>
      <x:c r="F27" s="33" t="str"/>
      <x:c r="G27" s="50" t="str">
        <x:v>Synthetic hire date</x:v>
      </x:c>
      <x:c r="H27" s="33" t="n">
        <x:v>43101</x:v>
      </x:c>
      <x:c r="I27" s="50" t="str"/>
      <x:c r="J27" s="33" t="str">
        <x:v>INTERNAL_SAMPLE</x:v>
      </x:c>
      <x:c r="K27" s="33" t="str">
        <x:v>Member 2</x:v>
      </x:c>
    </x:row>
    <x:row r="28" ht="24" customHeight="1">
      <x:c r="A28" s="33" t="str">
        <x:v>ESCA_HSE_01_Master_Data_and_Dictionary.xlsx</x:v>
      </x:c>
      <x:c r="B28" s="33" t="str">
        <x:v>Employees</x:v>
      </x:c>
      <x:c r="C28" s="33" t="str">
        <x:v>email_alias</x:v>
      </x:c>
      <x:c r="D28" s="33" t="str">
        <x:v>text</x:v>
      </x:c>
      <x:c r="E28" s="34" t="b">
        <x:v>1</x:v>
      </x:c>
      <x:c r="F28" s="33" t="str"/>
      <x:c r="G28" s="50" t="str">
        <x:v>Non-routable synthetic email</x:v>
      </x:c>
      <x:c r="H28" s="33" t="str">
        <x:v>employee001@example.local</x:v>
      </x:c>
      <x:c r="I28" s="50" t="str"/>
      <x:c r="J28" s="33" t="str">
        <x:v>INTERNAL_SAMPLE</x:v>
      </x:c>
      <x:c r="K28" s="33" t="str">
        <x:v>Member 2</x:v>
      </x:c>
    </x:row>
    <x:row r="29" ht="24" customHeight="1">
      <x:c r="A29" s="33" t="str">
        <x:v>ESCA_HSE_01_Master_Data_and_Dictionary.xlsx</x:v>
      </x:c>
      <x:c r="B29" s="33" t="str">
        <x:v>Employees</x:v>
      </x:c>
      <x:c r="C29" s="33" t="str">
        <x:v>phone_ext</x:v>
      </x:c>
      <x:c r="D29" s="33" t="str">
        <x:v>text</x:v>
      </x:c>
      <x:c r="E29" s="34" t="b">
        <x:v>1</x:v>
      </x:c>
      <x:c r="F29" s="33" t="str"/>
      <x:c r="G29" s="50" t="str">
        <x:v>Synthetic extension</x:v>
      </x:c>
      <x:c r="H29" s="33" t="str">
        <x:v>2101</x:v>
      </x:c>
      <x:c r="I29" s="50" t="str"/>
      <x:c r="J29" s="33" t="str">
        <x:v>INTERNAL_SAMPLE</x:v>
      </x:c>
      <x:c r="K29" s="33" t="str">
        <x:v>Member 2</x:v>
      </x:c>
    </x:row>
    <x:row r="30" ht="24" customHeight="1">
      <x:c r="A30" s="33" t="str">
        <x:v>ESCA_HSE_01_Master_Data_and_Dictionary.xlsx</x:v>
      </x:c>
      <x:c r="B30" s="33" t="str">
        <x:v>Employees</x:v>
      </x:c>
      <x:c r="C30" s="33" t="str">
        <x:v>active_flag</x:v>
      </x:c>
      <x:c r="D30" s="33" t="str">
        <x:v>boolean</x:v>
      </x:c>
      <x:c r="E30" s="34" t="b">
        <x:v>1</x:v>
      </x:c>
      <x:c r="F30" s="33" t="str"/>
      <x:c r="G30" s="50" t="str">
        <x:v>Whether employee is active</x:v>
      </x:c>
      <x:c r="H30" s="33" t="str">
        <x:v>true</x:v>
      </x:c>
      <x:c r="I30" s="50" t="str"/>
      <x:c r="J30" s="33" t="str">
        <x:v>INTERNAL_SAMPLE</x:v>
      </x:c>
      <x:c r="K30" s="33" t="str">
        <x:v>Member 2</x:v>
      </x:c>
    </x:row>
    <x:row r="31" ht="24" customHeight="1">
      <x:c r="A31" s="33" t="str">
        <x:v>ESCA_HSE_01_Master_Data_and_Dictionary.xlsx</x:v>
      </x:c>
      <x:c r="B31" s="33" t="str">
        <x:v>Roles</x:v>
      </x:c>
      <x:c r="C31" s="33" t="str">
        <x:v>role_id</x:v>
      </x:c>
      <x:c r="D31" s="33" t="str">
        <x:v>id</x:v>
      </x:c>
      <x:c r="E31" s="34" t="b">
        <x:v>1</x:v>
      </x:c>
      <x:c r="F31" s="33" t="str">
        <x:v>PK</x:v>
      </x:c>
      <x:c r="G31" s="50" t="str">
        <x:v>Unique role identifier</x:v>
      </x:c>
      <x:c r="H31" s="33" t="str">
        <x:v>ROLE-HSE-MGR</x:v>
      </x:c>
      <x:c r="I31" s="50" t="str"/>
      <x:c r="J31" s="33" t="str">
        <x:v>INTERNAL_SAMPLE</x:v>
      </x:c>
      <x:c r="K31" s="33" t="str">
        <x:v>Member 1</x:v>
      </x:c>
    </x:row>
    <x:row r="32" ht="24" customHeight="1">
      <x:c r="A32" s="33" t="str">
        <x:v>ESCA_HSE_01_Master_Data_and_Dictionary.xlsx</x:v>
      </x:c>
      <x:c r="B32" s="33" t="str">
        <x:v>Roles</x:v>
      </x:c>
      <x:c r="C32" s="33" t="str">
        <x:v>role_name</x:v>
      </x:c>
      <x:c r="D32" s="33" t="str">
        <x:v>enum</x:v>
      </x:c>
      <x:c r="E32" s="34" t="b">
        <x:v>1</x:v>
      </x:c>
      <x:c r="F32" s="33" t="str"/>
      <x:c r="G32" s="50" t="str">
        <x:v>System role name</x:v>
      </x:c>
      <x:c r="H32" s="33" t="str">
        <x:v>HSE_MANAGER</x:v>
      </x:c>
      <x:c r="I32" s="50" t="str"/>
      <x:c r="J32" s="33" t="str">
        <x:v>INTERNAL_SAMPLE</x:v>
      </x:c>
      <x:c r="K32" s="33" t="str">
        <x:v>Member 1</x:v>
      </x:c>
    </x:row>
    <x:row r="33" ht="24" customHeight="1">
      <x:c r="A33" s="33" t="str">
        <x:v>ESCA_HSE_01_Master_Data_and_Dictionary.xlsx</x:v>
      </x:c>
      <x:c r="B33" s="33" t="str">
        <x:v>Roles</x:v>
      </x:c>
      <x:c r="C33" s="33" t="str">
        <x:v>description</x:v>
      </x:c>
      <x:c r="D33" s="33" t="str">
        <x:v>text</x:v>
      </x:c>
      <x:c r="E33" s="34" t="b">
        <x:v>1</x:v>
      </x:c>
      <x:c r="F33" s="33" t="str"/>
      <x:c r="G33" s="50" t="str">
        <x:v>Role purpose</x:v>
      </x:c>
      <x:c r="H33" s="33" t="str">
        <x:v>Full HSE scope and high-risk approvals</x:v>
      </x:c>
      <x:c r="I33" s="50" t="str"/>
      <x:c r="J33" s="33" t="str">
        <x:v>INTERNAL_SAMPLE</x:v>
      </x:c>
      <x:c r="K33" s="33" t="str">
        <x:v>Member 1</x:v>
      </x:c>
    </x:row>
    <x:row r="34" ht="24" customHeight="1">
      <x:c r="A34" s="33" t="str">
        <x:v>ESCA_HSE_01_Master_Data_and_Dictionary.xlsx</x:v>
      </x:c>
      <x:c r="B34" s="33" t="str">
        <x:v>Roles</x:v>
      </x:c>
      <x:c r="C34" s="33" t="str">
        <x:v>scope_level</x:v>
      </x:c>
      <x:c r="D34" s="33" t="str">
        <x:v>enum</x:v>
      </x:c>
      <x:c r="E34" s="34" t="b">
        <x:v>1</x:v>
      </x:c>
      <x:c r="F34" s="33" t="str"/>
      <x:c r="G34" s="50" t="str">
        <x:v>Maximum access scope</x:v>
      </x:c>
      <x:c r="H34" s="33" t="str">
        <x:v>SITE</x:v>
      </x:c>
      <x:c r="I34" s="50" t="str"/>
      <x:c r="J34" s="33" t="str">
        <x:v>INTERNAL_SAMPLE</x:v>
      </x:c>
      <x:c r="K34" s="33" t="str">
        <x:v>Member 1</x:v>
      </x:c>
    </x:row>
    <x:row r="35" ht="24" customHeight="1">
      <x:c r="A35" s="33" t="str">
        <x:v>ESCA_HSE_01_Master_Data_and_Dictionary.xlsx</x:v>
      </x:c>
      <x:c r="B35" s="33" t="str">
        <x:v>Users</x:v>
      </x:c>
      <x:c r="C35" s="33" t="str">
        <x:v>user_id</x:v>
      </x:c>
      <x:c r="D35" s="33" t="str">
        <x:v>id</x:v>
      </x:c>
      <x:c r="E35" s="34" t="b">
        <x:v>1</x:v>
      </x:c>
      <x:c r="F35" s="33" t="str">
        <x:v>PK</x:v>
      </x:c>
      <x:c r="G35" s="50" t="str">
        <x:v>Unique human or service user identifier</x:v>
      </x:c>
      <x:c r="H35" s="33" t="str">
        <x:v>USR-001</x:v>
      </x:c>
      <x:c r="I35" s="50" t="str"/>
      <x:c r="J35" s="33" t="str">
        <x:v>CONFIDENTIAL_SECURITY</x:v>
      </x:c>
      <x:c r="K35" s="33" t="str">
        <x:v>Member 1</x:v>
      </x:c>
    </x:row>
    <x:row r="36" ht="24" customHeight="1">
      <x:c r="A36" s="33" t="str">
        <x:v>ESCA_HSE_01_Master_Data_and_Dictionary.xlsx</x:v>
      </x:c>
      <x:c r="B36" s="33" t="str">
        <x:v>Users</x:v>
      </x:c>
      <x:c r="C36" s="33" t="str">
        <x:v>employee_id</x:v>
      </x:c>
      <x:c r="D36" s="33" t="str">
        <x:v>id</x:v>
      </x:c>
      <x:c r="E36" s="34" t="b">
        <x:v>0</x:v>
      </x:c>
      <x:c r="F36" s="33" t="str">
        <x:v>FK -&gt; Employees.employee_id</x:v>
      </x:c>
      <x:c r="G36" s="50" t="str">
        <x:v>Linked employee; null for service identities</x:v>
      </x:c>
      <x:c r="H36" s="33" t="str">
        <x:v>EMP-001</x:v>
      </x:c>
      <x:c r="I36" s="50" t="str"/>
      <x:c r="J36" s="33" t="str">
        <x:v>CONFIDENTIAL_SECURITY</x:v>
      </x:c>
      <x:c r="K36" s="33" t="str">
        <x:v>Member 1</x:v>
      </x:c>
    </x:row>
    <x:row r="37" ht="24" customHeight="1">
      <x:c r="A37" s="33" t="str">
        <x:v>ESCA_HSE_01_Master_Data_and_Dictionary.xlsx</x:v>
      </x:c>
      <x:c r="B37" s="33" t="str">
        <x:v>Users</x:v>
      </x:c>
      <x:c r="C37" s="33" t="str">
        <x:v>username</x:v>
      </x:c>
      <x:c r="D37" s="33" t="str">
        <x:v>text</x:v>
      </x:c>
      <x:c r="E37" s="34" t="b">
        <x:v>1</x:v>
      </x:c>
      <x:c r="F37" s="33" t="str"/>
      <x:c r="G37" s="50" t="str">
        <x:v>Synthetic username</x:v>
      </x:c>
      <x:c r="H37" s="33" t="str">
        <x:v>user.001</x:v>
      </x:c>
      <x:c r="I37" s="50" t="str"/>
      <x:c r="J37" s="33" t="str">
        <x:v>CONFIDENTIAL_SECURITY</x:v>
      </x:c>
      <x:c r="K37" s="33" t="str">
        <x:v>Member 1</x:v>
      </x:c>
    </x:row>
    <x:row r="38" ht="24" customHeight="1">
      <x:c r="A38" s="33" t="str">
        <x:v>ESCA_HSE_01_Master_Data_and_Dictionary.xlsx</x:v>
      </x:c>
      <x:c r="B38" s="33" t="str">
        <x:v>Users</x:v>
      </x:c>
      <x:c r="C38" s="33" t="str">
        <x:v>status</x:v>
      </x:c>
      <x:c r="D38" s="33" t="str">
        <x:v>enum</x:v>
      </x:c>
      <x:c r="E38" s="34" t="b">
        <x:v>1</x:v>
      </x:c>
      <x:c r="F38" s="33" t="str"/>
      <x:c r="G38" s="50" t="str">
        <x:v>Account status</x:v>
      </x:c>
      <x:c r="H38" s="33" t="str">
        <x:v>ACTIVE</x:v>
      </x:c>
      <x:c r="I38" s="50" t="str">
        <x:v>ACTIVE | SUSPENDED | DISABLED</x:v>
      </x:c>
      <x:c r="J38" s="33" t="str">
        <x:v>CONFIDENTIAL_SECURITY</x:v>
      </x:c>
      <x:c r="K38" s="33" t="str">
        <x:v>Member 1</x:v>
      </x:c>
    </x:row>
    <x:row r="39" ht="24" customHeight="1">
      <x:c r="A39" s="33" t="str">
        <x:v>ESCA_HSE_01_Master_Data_and_Dictionary.xlsx</x:v>
      </x:c>
      <x:c r="B39" s="33" t="str">
        <x:v>Users</x:v>
      </x:c>
      <x:c r="C39" s="33" t="str">
        <x:v>mfa_enabled</x:v>
      </x:c>
      <x:c r="D39" s="33" t="str">
        <x:v>boolean</x:v>
      </x:c>
      <x:c r="E39" s="34" t="b">
        <x:v>1</x:v>
      </x:c>
      <x:c r="F39" s="33" t="str"/>
      <x:c r="G39" s="50" t="str">
        <x:v>Multi-factor authentication or managed service identity control enabled</x:v>
      </x:c>
      <x:c r="H39" s="33" t="str">
        <x:v>true</x:v>
      </x:c>
      <x:c r="I39" s="50" t="str"/>
      <x:c r="J39" s="33" t="str">
        <x:v>CONFIDENTIAL_SECURITY</x:v>
      </x:c>
      <x:c r="K39" s="33" t="str">
        <x:v>Member 1</x:v>
      </x:c>
    </x:row>
    <x:row r="40" ht="24" customHeight="1">
      <x:c r="A40" s="33" t="str">
        <x:v>ESCA_HSE_01_Master_Data_and_Dictionary.xlsx</x:v>
      </x:c>
      <x:c r="B40" s="33" t="str">
        <x:v>Users</x:v>
      </x:c>
      <x:c r="C40" s="33" t="str">
        <x:v>last_login_at</x:v>
      </x:c>
      <x:c r="D40" s="33" t="str">
        <x:v>datetime</x:v>
      </x:c>
      <x:c r="E40" s="34" t="b">
        <x:v>1</x:v>
      </x:c>
      <x:c r="F40" s="33" t="str"/>
      <x:c r="G40" s="50" t="str">
        <x:v>Most recent synthetic login or token use</x:v>
      </x:c>
      <x:c r="H40" s="33" t="n">
        <x:v>46247.21875</x:v>
      </x:c>
      <x:c r="I40" s="50" t="str"/>
      <x:c r="J40" s="33" t="str">
        <x:v>CONFIDENTIAL_SECURITY</x:v>
      </x:c>
      <x:c r="K40" s="33" t="str">
        <x:v>Member 1</x:v>
      </x:c>
    </x:row>
    <x:row r="41" ht="24" customHeight="1">
      <x:c r="A41" s="33" t="str">
        <x:v>ESCA_HSE_01_Master_Data_and_Dictionary.xlsx</x:v>
      </x:c>
      <x:c r="B41" s="33" t="str">
        <x:v>User_Roles</x:v>
      </x:c>
      <x:c r="C41" s="33" t="str">
        <x:v>assignment_id</x:v>
      </x:c>
      <x:c r="D41" s="33" t="str">
        <x:v>id</x:v>
      </x:c>
      <x:c r="E41" s="34" t="b">
        <x:v>1</x:v>
      </x:c>
      <x:c r="F41" s="33" t="str">
        <x:v>PK</x:v>
      </x:c>
      <x:c r="G41" s="50" t="str">
        <x:v>Unique role assignment</x:v>
      </x:c>
      <x:c r="H41" s="33" t="str">
        <x:v>URA-001</x:v>
      </x:c>
      <x:c r="I41" s="50" t="str"/>
      <x:c r="J41" s="33" t="str">
        <x:v>CONFIDENTIAL_SECURITY</x:v>
      </x:c>
      <x:c r="K41" s="33" t="str">
        <x:v>Member 1</x:v>
      </x:c>
    </x:row>
    <x:row r="42" ht="24" customHeight="1">
      <x:c r="A42" s="33" t="str">
        <x:v>ESCA_HSE_01_Master_Data_and_Dictionary.xlsx</x:v>
      </x:c>
      <x:c r="B42" s="33" t="str">
        <x:v>User_Roles</x:v>
      </x:c>
      <x:c r="C42" s="33" t="str">
        <x:v>user_id</x:v>
      </x:c>
      <x:c r="D42" s="33" t="str">
        <x:v>id</x:v>
      </x:c>
      <x:c r="E42" s="34" t="b">
        <x:v>1</x:v>
      </x:c>
      <x:c r="F42" s="33" t="str">
        <x:v>FK -&gt; Users.user_id</x:v>
      </x:c>
      <x:c r="G42" s="50" t="str">
        <x:v>User or service identity</x:v>
      </x:c>
      <x:c r="H42" s="33" t="str">
        <x:v>USR-001</x:v>
      </x:c>
      <x:c r="I42" s="50" t="str"/>
      <x:c r="J42" s="33" t="str">
        <x:v>CONFIDENTIAL_SECURITY</x:v>
      </x:c>
      <x:c r="K42" s="33" t="str">
        <x:v>Member 1</x:v>
      </x:c>
    </x:row>
    <x:row r="43" ht="24" customHeight="1">
      <x:c r="A43" s="33" t="str">
        <x:v>ESCA_HSE_01_Master_Data_and_Dictionary.xlsx</x:v>
      </x:c>
      <x:c r="B43" s="33" t="str">
        <x:v>User_Roles</x:v>
      </x:c>
      <x:c r="C43" s="33" t="str">
        <x:v>role_id</x:v>
      </x:c>
      <x:c r="D43" s="33" t="str">
        <x:v>id</x:v>
      </x:c>
      <x:c r="E43" s="34" t="b">
        <x:v>1</x:v>
      </x:c>
      <x:c r="F43" s="33" t="str">
        <x:v>FK -&gt; Roles.role_id</x:v>
      </x:c>
      <x:c r="G43" s="50" t="str">
        <x:v>Assigned role</x:v>
      </x:c>
      <x:c r="H43" s="33" t="str">
        <x:v>ROLE-DEPT-MGR</x:v>
      </x:c>
      <x:c r="I43" s="50" t="str"/>
      <x:c r="J43" s="33" t="str">
        <x:v>CONFIDENTIAL_SECURITY</x:v>
      </x:c>
      <x:c r="K43" s="33" t="str">
        <x:v>Member 1</x:v>
      </x:c>
    </x:row>
    <x:row r="44" ht="24" customHeight="1">
      <x:c r="A44" s="33" t="str">
        <x:v>ESCA_HSE_01_Master_Data_and_Dictionary.xlsx</x:v>
      </x:c>
      <x:c r="B44" s="33" t="str">
        <x:v>User_Roles</x:v>
      </x:c>
      <x:c r="C44" s="33" t="str">
        <x:v>scope_type</x:v>
      </x:c>
      <x:c r="D44" s="33" t="str">
        <x:v>enum</x:v>
      </x:c>
      <x:c r="E44" s="34" t="b">
        <x:v>1</x:v>
      </x:c>
      <x:c r="F44" s="33" t="str"/>
      <x:c r="G44" s="50" t="str">
        <x:v>Scope dimension</x:v>
      </x:c>
      <x:c r="H44" s="33" t="str">
        <x:v>DEPARTMENT</x:v>
      </x:c>
      <x:c r="I44" s="50" t="str">
        <x:v>SITE | DEPARTMENT | ZONE | SERVICE</x:v>
      </x:c>
      <x:c r="J44" s="33" t="str">
        <x:v>CONFIDENTIAL_SECURITY</x:v>
      </x:c>
      <x:c r="K44" s="33" t="str">
        <x:v>Member 1</x:v>
      </x:c>
    </x:row>
    <x:row r="45" ht="24" customHeight="1">
      <x:c r="A45" s="33" t="str">
        <x:v>ESCA_HSE_01_Master_Data_and_Dictionary.xlsx</x:v>
      </x:c>
      <x:c r="B45" s="33" t="str">
        <x:v>User_Roles</x:v>
      </x:c>
      <x:c r="C45" s="33" t="str">
        <x:v>scope_id</x:v>
      </x:c>
      <x:c r="D45" s="33" t="str">
        <x:v>id</x:v>
      </x:c>
      <x:c r="E45" s="34" t="b">
        <x:v>1</x:v>
      </x:c>
      <x:c r="F45" s="33" t="str"/>
      <x:c r="G45" s="50" t="str">
        <x:v>Scope target identifier</x:v>
      </x:c>
      <x:c r="H45" s="33" t="str">
        <x:v>DEP-PROD-A</x:v>
      </x:c>
      <x:c r="I45" s="50" t="str"/>
      <x:c r="J45" s="33" t="str">
        <x:v>CONFIDENTIAL_SECURITY</x:v>
      </x:c>
      <x:c r="K45" s="33" t="str">
        <x:v>Member 1</x:v>
      </x:c>
    </x:row>
    <x:row r="46" ht="24" customHeight="1">
      <x:c r="A46" s="33" t="str">
        <x:v>ESCA_HSE_01_Master_Data_and_Dictionary.xlsx</x:v>
      </x:c>
      <x:c r="B46" s="33" t="str">
        <x:v>User_Roles</x:v>
      </x:c>
      <x:c r="C46" s="33" t="str">
        <x:v>valid_from</x:v>
      </x:c>
      <x:c r="D46" s="33" t="str">
        <x:v>date</x:v>
      </x:c>
      <x:c r="E46" s="34" t="b">
        <x:v>1</x:v>
      </x:c>
      <x:c r="F46" s="33" t="str"/>
      <x:c r="G46" s="50" t="str">
        <x:v>Assignment start</x:v>
      </x:c>
      <x:c r="H46" s="33" t="n">
        <x:v>46023</x:v>
      </x:c>
      <x:c r="I46" s="50" t="str"/>
      <x:c r="J46" s="33" t="str">
        <x:v>CONFIDENTIAL_SECURITY</x:v>
      </x:c>
      <x:c r="K46" s="33" t="str">
        <x:v>Member 1</x:v>
      </x:c>
    </x:row>
    <x:row r="47" ht="24" customHeight="1">
      <x:c r="A47" s="33" t="str">
        <x:v>ESCA_HSE_01_Master_Data_and_Dictionary.xlsx</x:v>
      </x:c>
      <x:c r="B47" s="33" t="str">
        <x:v>User_Roles</x:v>
      </x:c>
      <x:c r="C47" s="33" t="str">
        <x:v>valid_to</x:v>
      </x:c>
      <x:c r="D47" s="33" t="str">
        <x:v>date</x:v>
      </x:c>
      <x:c r="E47" s="34" t="b">
        <x:v>0</x:v>
      </x:c>
      <x:c r="F47" s="33" t="str"/>
      <x:c r="G47" s="50" t="str">
        <x:v>Assignment end</x:v>
      </x:c>
      <x:c r="H47" s="33" t="str"/>
      <x:c r="I47" s="50" t="str"/>
      <x:c r="J47" s="33" t="str">
        <x:v>CONFIDENTIAL_SECURITY</x:v>
      </x:c>
      <x:c r="K47" s="33" t="str">
        <x:v>Member 1</x:v>
      </x:c>
    </x:row>
    <x:row r="48" ht="24" customHeight="1">
      <x:c r="A48" s="33" t="str">
        <x:v>ESCA_HSE_01_Master_Data_and_Dictionary.xlsx</x:v>
      </x:c>
      <x:c r="B48" s="33" t="str">
        <x:v>User_Roles</x:v>
      </x:c>
      <x:c r="C48" s="33" t="str">
        <x:v>status</x:v>
      </x:c>
      <x:c r="D48" s="33" t="str">
        <x:v>enum</x:v>
      </x:c>
      <x:c r="E48" s="34" t="b">
        <x:v>1</x:v>
      </x:c>
      <x:c r="F48" s="33" t="str"/>
      <x:c r="G48" s="50" t="str">
        <x:v>Assignment status</x:v>
      </x:c>
      <x:c r="H48" s="33" t="str">
        <x:v>ACTIVE</x:v>
      </x:c>
      <x:c r="I48" s="50" t="str">
        <x:v>ACTIVE | SUSPENDED | EXPIRED</x:v>
      </x:c>
      <x:c r="J48" s="33" t="str">
        <x:v>CONFIDENTIAL_SECURITY</x:v>
      </x:c>
      <x:c r="K48" s="33" t="str">
        <x:v>Member 1</x:v>
      </x:c>
    </x:row>
    <x:row r="49" ht="24" customHeight="1">
      <x:c r="A49" s="33" t="str">
        <x:v>ESCA_HSE_01_Master_Data_and_Dictionary.xlsx</x:v>
      </x:c>
      <x:c r="B49" s="33" t="str">
        <x:v>RBAC_Matrix</x:v>
      </x:c>
      <x:c r="C49" s="33" t="str">
        <x:v>role_id</x:v>
      </x:c>
      <x:c r="D49" s="33" t="str">
        <x:v>id</x:v>
      </x:c>
      <x:c r="E49" s="34" t="b">
        <x:v>1</x:v>
      </x:c>
      <x:c r="F49" s="33" t="str">
        <x:v>PK</x:v>
      </x:c>
      <x:c r="G49" s="50" t="str">
        <x:v>Role identifier</x:v>
      </x:c>
      <x:c r="H49" s="33" t="str">
        <x:v>ROLE-HSE-MGR</x:v>
      </x:c>
      <x:c r="I49" s="50" t="str"/>
      <x:c r="J49" s="33" t="str">
        <x:v>INTERNAL_SAMPLE</x:v>
      </x:c>
      <x:c r="K49" s="33" t="str">
        <x:v>Member 1</x:v>
      </x:c>
    </x:row>
    <x:row r="50" ht="24" customHeight="1">
      <x:c r="A50" s="33" t="str">
        <x:v>ESCA_HSE_01_Master_Data_and_Dictionary.xlsx</x:v>
      </x:c>
      <x:c r="B50" s="33" t="str">
        <x:v>RBAC_Matrix</x:v>
      </x:c>
      <x:c r="C50" s="33" t="str">
        <x:v>incidents_access</x:v>
      </x:c>
      <x:c r="D50" s="33" t="str">
        <x:v>enum</x:v>
      </x:c>
      <x:c r="E50" s="34" t="b">
        <x:v>1</x:v>
      </x:c>
      <x:c r="F50" s="33" t="str"/>
      <x:c r="G50" s="50" t="str">
        <x:v>Incident permission level</x:v>
      </x:c>
      <x:c r="H50" s="33" t="str">
        <x:v>CRUD</x:v>
      </x:c>
      <x:c r="I50" s="50" t="str"/>
      <x:c r="J50" s="33" t="str">
        <x:v>INTERNAL_SAMPLE</x:v>
      </x:c>
      <x:c r="K50" s="33" t="str">
        <x:v>Member 1</x:v>
      </x:c>
    </x:row>
    <x:row r="51" ht="24" customHeight="1">
      <x:c r="A51" s="33" t="str">
        <x:v>ESCA_HSE_01_Master_Data_and_Dictionary.xlsx</x:v>
      </x:c>
      <x:c r="B51" s="33" t="str">
        <x:v>RBAC_Matrix</x:v>
      </x:c>
      <x:c r="C51" s="33" t="str">
        <x:v>permits_access</x:v>
      </x:c>
      <x:c r="D51" s="33" t="str">
        <x:v>enum</x:v>
      </x:c>
      <x:c r="E51" s="34" t="b">
        <x:v>1</x:v>
      </x:c>
      <x:c r="F51" s="33" t="str"/>
      <x:c r="G51" s="50" t="str">
        <x:v>Permit permission level</x:v>
      </x:c>
      <x:c r="H51" s="33" t="str">
        <x:v>CRUD</x:v>
      </x:c>
      <x:c r="I51" s="50" t="str"/>
      <x:c r="J51" s="33" t="str">
        <x:v>INTERNAL_SAMPLE</x:v>
      </x:c>
      <x:c r="K51" s="33" t="str">
        <x:v>Member 1</x:v>
      </x:c>
    </x:row>
    <x:row r="52" ht="24" customHeight="1">
      <x:c r="A52" s="33" t="str">
        <x:v>ESCA_HSE_01_Master_Data_and_Dictionary.xlsx</x:v>
      </x:c>
      <x:c r="B52" s="33" t="str">
        <x:v>RBAC_Matrix</x:v>
      </x:c>
      <x:c r="C52" s="33" t="str">
        <x:v>inspections_access</x:v>
      </x:c>
      <x:c r="D52" s="33" t="str">
        <x:v>enum</x:v>
      </x:c>
      <x:c r="E52" s="34" t="b">
        <x:v>1</x:v>
      </x:c>
      <x:c r="F52" s="33" t="str"/>
      <x:c r="G52" s="50" t="str">
        <x:v>Inspection permission level</x:v>
      </x:c>
      <x:c r="H52" s="33" t="str">
        <x:v>CRUD</x:v>
      </x:c>
      <x:c r="I52" s="50" t="str"/>
      <x:c r="J52" s="33" t="str">
        <x:v>INTERNAL_SAMPLE</x:v>
      </x:c>
      <x:c r="K52" s="33" t="str">
        <x:v>Member 1</x:v>
      </x:c>
    </x:row>
    <x:row r="53" ht="24" customHeight="1">
      <x:c r="A53" s="33" t="str">
        <x:v>ESCA_HSE_01_Master_Data_and_Dictionary.xlsx</x:v>
      </x:c>
      <x:c r="B53" s="33" t="str">
        <x:v>RBAC_Matrix</x:v>
      </x:c>
      <x:c r="C53" s="33" t="str">
        <x:v>risks_access</x:v>
      </x:c>
      <x:c r="D53" s="33" t="str">
        <x:v>enum</x:v>
      </x:c>
      <x:c r="E53" s="34" t="b">
        <x:v>1</x:v>
      </x:c>
      <x:c r="F53" s="33" t="str"/>
      <x:c r="G53" s="50" t="str">
        <x:v>Risk permission level</x:v>
      </x:c>
      <x:c r="H53" s="33" t="str">
        <x:v>CRUD</x:v>
      </x:c>
      <x:c r="I53" s="50" t="str"/>
      <x:c r="J53" s="33" t="str">
        <x:v>INTERNAL_SAMPLE</x:v>
      </x:c>
      <x:c r="K53" s="33" t="str">
        <x:v>Member 1</x:v>
      </x:c>
    </x:row>
    <x:row r="54" ht="24" customHeight="1">
      <x:c r="A54" s="33" t="str">
        <x:v>ESCA_HSE_01_Master_Data_and_Dictionary.xlsx</x:v>
      </x:c>
      <x:c r="B54" s="33" t="str">
        <x:v>RBAC_Matrix</x:v>
      </x:c>
      <x:c r="C54" s="33" t="str">
        <x:v>training_access</x:v>
      </x:c>
      <x:c r="D54" s="33" t="str">
        <x:v>enum</x:v>
      </x:c>
      <x:c r="E54" s="34" t="b">
        <x:v>1</x:v>
      </x:c>
      <x:c r="F54" s="33" t="str"/>
      <x:c r="G54" s="50" t="str">
        <x:v>Training permission level</x:v>
      </x:c>
      <x:c r="H54" s="33" t="str">
        <x:v>CRUD</x:v>
      </x:c>
      <x:c r="I54" s="50" t="str"/>
      <x:c r="J54" s="33" t="str">
        <x:v>INTERNAL_SAMPLE</x:v>
      </x:c>
      <x:c r="K54" s="33" t="str">
        <x:v>Member 1</x:v>
      </x:c>
    </x:row>
    <x:row r="55" ht="24" customHeight="1">
      <x:c r="A55" s="33" t="str">
        <x:v>ESCA_HSE_01_Master_Data_and_Dictionary.xlsx</x:v>
      </x:c>
      <x:c r="B55" s="33" t="str">
        <x:v>RBAC_Matrix</x:v>
      </x:c>
      <x:c r="C55" s="33" t="str">
        <x:v>health_access</x:v>
      </x:c>
      <x:c r="D55" s="33" t="str">
        <x:v>enum</x:v>
      </x:c>
      <x:c r="E55" s="34" t="b">
        <x:v>1</x:v>
      </x:c>
      <x:c r="F55" s="33" t="str"/>
      <x:c r="G55" s="50" t="str">
        <x:v>Occupational-health permission level</x:v>
      </x:c>
      <x:c r="H55" s="33" t="str">
        <x:v>AGGREGATE_ONLY</x:v>
      </x:c>
      <x:c r="I55" s="50" t="str"/>
      <x:c r="J55" s="33" t="str">
        <x:v>INTERNAL_SAMPLE</x:v>
      </x:c>
      <x:c r="K55" s="33" t="str">
        <x:v>Member 1</x:v>
      </x:c>
    </x:row>
    <x:row r="56" ht="24" customHeight="1">
      <x:c r="A56" s="33" t="str">
        <x:v>ESCA_HSE_01_Master_Data_and_Dictionary.xlsx</x:v>
      </x:c>
      <x:c r="B56" s="33" t="str">
        <x:v>RBAC_Matrix</x:v>
      </x:c>
      <x:c r="C56" s="33" t="str">
        <x:v>admin_access</x:v>
      </x:c>
      <x:c r="D56" s="33" t="str">
        <x:v>enum</x:v>
      </x:c>
      <x:c r="E56" s="34" t="b">
        <x:v>1</x:v>
      </x:c>
      <x:c r="F56" s="33" t="str"/>
      <x:c r="G56" s="50" t="str">
        <x:v>Administration permission level</x:v>
      </x:c>
      <x:c r="H56" s="33" t="str">
        <x:v>RW</x:v>
      </x:c>
      <x:c r="I56" s="50" t="str"/>
      <x:c r="J56" s="33" t="str">
        <x:v>INTERNAL_SAMPLE</x:v>
      </x:c>
      <x:c r="K56" s="33" t="str">
        <x:v>Member 1</x:v>
      </x:c>
    </x:row>
    <x:row r="57" ht="24" customHeight="1">
      <x:c r="A57" s="33" t="str">
        <x:v>ESCA_HSE_01_Master_Data_and_Dictionary.xlsx</x:v>
      </x:c>
      <x:c r="B57" s="33" t="str">
        <x:v>RBAC_Matrix</x:v>
      </x:c>
      <x:c r="C57" s="33" t="str">
        <x:v>approve_high_risk</x:v>
      </x:c>
      <x:c r="D57" s="33" t="str">
        <x:v>boolean</x:v>
      </x:c>
      <x:c r="E57" s="34" t="b">
        <x:v>1</x:v>
      </x:c>
      <x:c r="F57" s="33" t="str"/>
      <x:c r="G57" s="50" t="str">
        <x:v>May approve high-risk permits</x:v>
      </x:c>
      <x:c r="H57" s="33" t="str">
        <x:v>true</x:v>
      </x:c>
      <x:c r="I57" s="50" t="str"/>
      <x:c r="J57" s="33" t="str">
        <x:v>INTERNAL_SAMPLE</x:v>
      </x:c>
      <x:c r="K57" s="33" t="str">
        <x:v>Member 1</x:v>
      </x:c>
    </x:row>
    <x:row r="58" ht="24" customHeight="1">
      <x:c r="A58" s="33" t="str">
        <x:v>ESCA_HSE_01_Master_Data_and_Dictionary.xlsx</x:v>
      </x:c>
      <x:c r="B58" s="33" t="str">
        <x:v>RBAC_Matrix</x:v>
      </x:c>
      <x:c r="C58" s="33" t="str">
        <x:v>export_reports</x:v>
      </x:c>
      <x:c r="D58" s="33" t="str">
        <x:v>boolean</x:v>
      </x:c>
      <x:c r="E58" s="34" t="b">
        <x:v>1</x:v>
      </x:c>
      <x:c r="F58" s="33" t="str"/>
      <x:c r="G58" s="50" t="str">
        <x:v>May export authorized reports</x:v>
      </x:c>
      <x:c r="H58" s="33" t="str">
        <x:v>true</x:v>
      </x:c>
      <x:c r="I58" s="50" t="str"/>
      <x:c r="J58" s="33" t="str">
        <x:v>INTERNAL_SAMPLE</x:v>
      </x:c>
      <x:c r="K58" s="33" t="str">
        <x:v>Member 1</x:v>
      </x:c>
    </x:row>
    <x:row r="59" ht="24" customHeight="1">
      <x:c r="A59" s="33" t="str">
        <x:v>ESCA_HSE_01_Master_Data_and_Dictionary.xlsx</x:v>
      </x:c>
      <x:c r="B59" s="33" t="str">
        <x:v>RBAC_Matrix</x:v>
      </x:c>
      <x:c r="C59" s="33" t="str">
        <x:v>scope_policy</x:v>
      </x:c>
      <x:c r="D59" s="33" t="str">
        <x:v>enum</x:v>
      </x:c>
      <x:c r="E59" s="34" t="b">
        <x:v>1</x:v>
      </x:c>
      <x:c r="F59" s="33" t="str"/>
      <x:c r="G59" s="50" t="str">
        <x:v>Maximum data scope</x:v>
      </x:c>
      <x:c r="H59" s="33" t="str">
        <x:v>SITE</x:v>
      </x:c>
      <x:c r="I59" s="50" t="str"/>
      <x:c r="J59" s="33" t="str">
        <x:v>INTERNAL_SAMPLE</x:v>
      </x:c>
      <x:c r="K59" s="33" t="str">
        <x:v>Member 1</x:v>
      </x:c>
    </x:row>
    <x:row r="60" ht="24" customHeight="1">
      <x:c r="A60" s="33" t="str">
        <x:v>ESCA_HSE_01_Master_Data_and_Dictionary.xlsx</x:v>
      </x:c>
      <x:c r="B60" s="33" t="str">
        <x:v>Service_Catalog</x:v>
      </x:c>
      <x:c r="C60" s="33" t="str">
        <x:v>service_id</x:v>
      </x:c>
      <x:c r="D60" s="33" t="str">
        <x:v>id</x:v>
      </x:c>
      <x:c r="E60" s="34" t="b">
        <x:v>1</x:v>
      </x:c>
      <x:c r="F60" s="33" t="str">
        <x:v>PK</x:v>
      </x:c>
      <x:c r="G60" s="50" t="str">
        <x:v>Service identifier</x:v>
      </x:c>
      <x:c r="H60" s="33" t="str">
        <x:v>SVC-AUTH</x:v>
      </x:c>
      <x:c r="I60" s="50" t="str"/>
      <x:c r="J60" s="33" t="str">
        <x:v>INTERNAL_SAMPLE</x:v>
      </x:c>
      <x:c r="K60" s="33" t="str">
        <x:v>Whole team</x:v>
      </x:c>
    </x:row>
    <x:row r="61" ht="24" customHeight="1">
      <x:c r="A61" s="33" t="str">
        <x:v>ESCA_HSE_01_Master_Data_and_Dictionary.xlsx</x:v>
      </x:c>
      <x:c r="B61" s="33" t="str">
        <x:v>Service_Catalog</x:v>
      </x:c>
      <x:c r="C61" s="33" t="str">
        <x:v>service_name</x:v>
      </x:c>
      <x:c r="D61" s="33" t="str">
        <x:v>text</x:v>
      </x:c>
      <x:c r="E61" s="34" t="b">
        <x:v>1</x:v>
      </x:c>
      <x:c r="F61" s="33" t="str"/>
      <x:c r="G61" s="50" t="str">
        <x:v>Logical service name</x:v>
      </x:c>
      <x:c r="H61" s="33" t="str">
        <x:v>Authentication &amp; RBAC</x:v>
      </x:c>
      <x:c r="I61" s="50" t="str"/>
      <x:c r="J61" s="33" t="str">
        <x:v>INTERNAL_SAMPLE</x:v>
      </x:c>
      <x:c r="K61" s="33" t="str">
        <x:v>Whole team</x:v>
      </x:c>
    </x:row>
    <x:row r="62" ht="24" customHeight="1">
      <x:c r="A62" s="33" t="str">
        <x:v>ESCA_HSE_01_Master_Data_and_Dictionary.xlsx</x:v>
      </x:c>
      <x:c r="B62" s="33" t="str">
        <x:v>Service_Catalog</x:v>
      </x:c>
      <x:c r="C62" s="33" t="str">
        <x:v>runtime</x:v>
      </x:c>
      <x:c r="D62" s="33" t="str">
        <x:v>text</x:v>
      </x:c>
      <x:c r="E62" s="34" t="b">
        <x:v>1</x:v>
      </x:c>
      <x:c r="F62" s="33" t="str"/>
      <x:c r="G62" s="50" t="str">
        <x:v>Implementation runtime</x:v>
      </x:c>
      <x:c r="H62" s="33" t="str">
        <x:v>Spring Boot</x:v>
      </x:c>
      <x:c r="I62" s="50" t="str"/>
      <x:c r="J62" s="33" t="str">
        <x:v>INTERNAL_SAMPLE</x:v>
      </x:c>
      <x:c r="K62" s="33" t="str">
        <x:v>Whole team</x:v>
      </x:c>
    </x:row>
    <x:row r="63" ht="24" customHeight="1">
      <x:c r="A63" s="33" t="str">
        <x:v>ESCA_HSE_01_Master_Data_and_Dictionary.xlsx</x:v>
      </x:c>
      <x:c r="B63" s="33" t="str">
        <x:v>Service_Catalog</x:v>
      </x:c>
      <x:c r="C63" s="33" t="str">
        <x:v>data_store</x:v>
      </x:c>
      <x:c r="D63" s="33" t="str">
        <x:v>text</x:v>
      </x:c>
      <x:c r="E63" s="34" t="b">
        <x:v>1</x:v>
      </x:c>
      <x:c r="F63" s="33" t="str"/>
      <x:c r="G63" s="50" t="str">
        <x:v>Primary store or access mode</x:v>
      </x:c>
      <x:c r="H63" s="33" t="str">
        <x:v>PostgreSQL</x:v>
      </x:c>
      <x:c r="I63" s="50" t="str"/>
      <x:c r="J63" s="33" t="str">
        <x:v>INTERNAL_SAMPLE</x:v>
      </x:c>
      <x:c r="K63" s="33" t="str">
        <x:v>Whole team</x:v>
      </x:c>
    </x:row>
    <x:row r="64" ht="24" customHeight="1">
      <x:c r="A64" s="33" t="str">
        <x:v>ESCA_HSE_01_Master_Data_and_Dictionary.xlsx</x:v>
      </x:c>
      <x:c r="B64" s="33" t="str">
        <x:v>Service_Catalog</x:v>
      </x:c>
      <x:c r="C64" s="33" t="str">
        <x:v>owner</x:v>
      </x:c>
      <x:c r="D64" s="33" t="str">
        <x:v>text</x:v>
      </x:c>
      <x:c r="E64" s="34" t="b">
        <x:v>1</x:v>
      </x:c>
      <x:c r="F64" s="33" t="str"/>
      <x:c r="G64" s="50" t="str">
        <x:v>Assigned member or team</x:v>
      </x:c>
      <x:c r="H64" s="33" t="str">
        <x:v>Member 1</x:v>
      </x:c>
      <x:c r="I64" s="50" t="str"/>
      <x:c r="J64" s="33" t="str">
        <x:v>INTERNAL_SAMPLE</x:v>
      </x:c>
      <x:c r="K64" s="33" t="str">
        <x:v>Whole team</x:v>
      </x:c>
    </x:row>
    <x:row r="65" ht="24" customHeight="1">
      <x:c r="A65" s="33" t="str">
        <x:v>ESCA_HSE_01_Master_Data_and_Dictionary.xlsx</x:v>
      </x:c>
      <x:c r="B65" s="33" t="str">
        <x:v>Service_Catalog</x:v>
      </x:c>
      <x:c r="C65" s="33" t="str">
        <x:v>base_path</x:v>
      </x:c>
      <x:c r="D65" s="33" t="str">
        <x:v>text</x:v>
      </x:c>
      <x:c r="E65" s="34" t="b">
        <x:v>1</x:v>
      </x:c>
      <x:c r="F65" s="33" t="str"/>
      <x:c r="G65" s="50" t="str">
        <x:v>Versioned API base path</x:v>
      </x:c>
      <x:c r="H65" s="33" t="str">
        <x:v>/api/v1/auth</x:v>
      </x:c>
      <x:c r="I65" s="50" t="str"/>
      <x:c r="J65" s="33" t="str">
        <x:v>INTERNAL_SAMPLE</x:v>
      </x:c>
      <x:c r="K65" s="33" t="str">
        <x:v>Whole team</x:v>
      </x:c>
    </x:row>
    <x:row r="66" ht="24" customHeight="1">
      <x:c r="A66" s="33" t="str">
        <x:v>ESCA_HSE_01_Master_Data_and_Dictionary.xlsx</x:v>
      </x:c>
      <x:c r="B66" s="33" t="str">
        <x:v>Service_Catalog</x:v>
      </x:c>
      <x:c r="C66" s="33" t="str">
        <x:v>health_status</x:v>
      </x:c>
      <x:c r="D66" s="33" t="str">
        <x:v>enum</x:v>
      </x:c>
      <x:c r="E66" s="34" t="b">
        <x:v>1</x:v>
      </x:c>
      <x:c r="F66" s="33" t="str"/>
      <x:c r="G66" s="50" t="str">
        <x:v>Synthetic service health</x:v>
      </x:c>
      <x:c r="H66" s="33" t="str">
        <x:v>HEALTHY</x:v>
      </x:c>
      <x:c r="I66" s="50" t="str">
        <x:v>HEALTHY | DEGRADED | DOWN | PLANNED</x:v>
      </x:c>
      <x:c r="J66" s="33" t="str">
        <x:v>INTERNAL_SAMPLE</x:v>
      </x:c>
      <x:c r="K66" s="33" t="str">
        <x:v>Whole team</x:v>
      </x:c>
    </x:row>
    <x:row r="67" ht="24" customHeight="1">
      <x:c r="A67" s="33" t="str">
        <x:v>ESCA_HSE_01_Master_Data_and_Dictionary.xlsx</x:v>
      </x:c>
      <x:c r="B67" s="33" t="str">
        <x:v>Service_Catalog</x:v>
      </x:c>
      <x:c r="C67" s="33" t="str">
        <x:v>containerized</x:v>
      </x:c>
      <x:c r="D67" s="33" t="str">
        <x:v>boolean</x:v>
      </x:c>
      <x:c r="E67" s="34" t="b">
        <x:v>1</x:v>
      </x:c>
      <x:c r="F67" s="33" t="str"/>
      <x:c r="G67" s="50" t="str">
        <x:v>Runs as a container in the demo</x:v>
      </x:c>
      <x:c r="H67" s="33" t="str">
        <x:v>true</x:v>
      </x:c>
      <x:c r="I67" s="50" t="str"/>
      <x:c r="J67" s="33" t="str">
        <x:v>INTERNAL_SAMPLE</x:v>
      </x:c>
      <x:c r="K67" s="33" t="str">
        <x:v>Whole team</x:v>
      </x:c>
    </x:row>
    <x:row r="68" ht="24" customHeight="1">
      <x:c r="A68" s="33" t="str">
        <x:v>ESCA_HSE_01_Master_Data_and_Dictionary.xlsx</x:v>
      </x:c>
      <x:c r="B68" s="33" t="str">
        <x:v>Service_Catalog</x:v>
      </x:c>
      <x:c r="C68" s="33" t="str">
        <x:v>api_version</x:v>
      </x:c>
      <x:c r="D68" s="33" t="str">
        <x:v>text</x:v>
      </x:c>
      <x:c r="E68" s="34" t="b">
        <x:v>1</x:v>
      </x:c>
      <x:c r="F68" s="33" t="str"/>
      <x:c r="G68" s="50" t="str">
        <x:v>API contract version</x:v>
      </x:c>
      <x:c r="H68" s="33" t="str">
        <x:v>v1</x:v>
      </x:c>
      <x:c r="I68" s="50" t="str"/>
      <x:c r="J68" s="33" t="str">
        <x:v>INTERNAL_SAMPLE</x:v>
      </x:c>
      <x:c r="K68" s="33" t="str">
        <x:v>Whole team</x:v>
      </x:c>
    </x:row>
    <x:row r="69" ht="24" customHeight="1">
      <x:c r="A69" s="33" t="str">
        <x:v>ESCA_HSE_01_Master_Data_and_Dictionary.xlsx</x:v>
      </x:c>
      <x:c r="B69" s="33" t="str">
        <x:v>Environments</x:v>
      </x:c>
      <x:c r="C69" s="33" t="str">
        <x:v>environment_id</x:v>
      </x:c>
      <x:c r="D69" s="33" t="str">
        <x:v>id</x:v>
      </x:c>
      <x:c r="E69" s="34" t="b">
        <x:v>1</x:v>
      </x:c>
      <x:c r="F69" s="33" t="str">
        <x:v>PK</x:v>
      </x:c>
      <x:c r="G69" s="50" t="str">
        <x:v>Environment identifier</x:v>
      </x:c>
      <x:c r="H69" s="33" t="str">
        <x:v>ENV-DEV</x:v>
      </x:c>
      <x:c r="I69" s="50" t="str"/>
      <x:c r="J69" s="33" t="str">
        <x:v>INTERNAL_SAMPLE</x:v>
      </x:c>
      <x:c r="K69" s="33" t="str">
        <x:v>Whole team</x:v>
      </x:c>
    </x:row>
    <x:row r="70" ht="24" customHeight="1">
      <x:c r="A70" s="33" t="str">
        <x:v>ESCA_HSE_01_Master_Data_and_Dictionary.xlsx</x:v>
      </x:c>
      <x:c r="B70" s="33" t="str">
        <x:v>Environments</x:v>
      </x:c>
      <x:c r="C70" s="33" t="str">
        <x:v>name</x:v>
      </x:c>
      <x:c r="D70" s="33" t="str">
        <x:v>text</x:v>
      </x:c>
      <x:c r="E70" s="34" t="b">
        <x:v>1</x:v>
      </x:c>
      <x:c r="F70" s="33" t="str"/>
      <x:c r="G70" s="50" t="str">
        <x:v>Environment name</x:v>
      </x:c>
      <x:c r="H70" s="33" t="str">
        <x:v>Development</x:v>
      </x:c>
      <x:c r="I70" s="50" t="str"/>
      <x:c r="J70" s="33" t="str">
        <x:v>INTERNAL_SAMPLE</x:v>
      </x:c>
      <x:c r="K70" s="33" t="str">
        <x:v>Whole team</x:v>
      </x:c>
    </x:row>
    <x:row r="71" ht="24" customHeight="1">
      <x:c r="A71" s="33" t="str">
        <x:v>ESCA_HSE_01_Master_Data_and_Dictionary.xlsx</x:v>
      </x:c>
      <x:c r="B71" s="33" t="str">
        <x:v>Environments</x:v>
      </x:c>
      <x:c r="C71" s="33" t="str">
        <x:v>purpose</x:v>
      </x:c>
      <x:c r="D71" s="33" t="str">
        <x:v>text</x:v>
      </x:c>
      <x:c r="E71" s="34" t="b">
        <x:v>1</x:v>
      </x:c>
      <x:c r="F71" s="33" t="str"/>
      <x:c r="G71" s="50" t="str">
        <x:v>Environment purpose</x:v>
      </x:c>
      <x:c r="H71" s="33" t="str">
        <x:v>Local team development</x:v>
      </x:c>
      <x:c r="I71" s="50" t="str"/>
      <x:c r="J71" s="33" t="str">
        <x:v>INTERNAL_SAMPLE</x:v>
      </x:c>
      <x:c r="K71" s="33" t="str">
        <x:v>Whole team</x:v>
      </x:c>
    </x:row>
    <x:row r="72" ht="24" customHeight="1">
      <x:c r="A72" s="33" t="str">
        <x:v>ESCA_HSE_01_Master_Data_and_Dictionary.xlsx</x:v>
      </x:c>
      <x:c r="B72" s="33" t="str">
        <x:v>Environments</x:v>
      </x:c>
      <x:c r="C72" s="33" t="str">
        <x:v>base_url</x:v>
      </x:c>
      <x:c r="D72" s="33" t="str">
        <x:v>text</x:v>
      </x:c>
      <x:c r="E72" s="34" t="b">
        <x:v>1</x:v>
      </x:c>
      <x:c r="F72" s="33" t="str"/>
      <x:c r="G72" s="50" t="str">
        <x:v>Synthetic non-routable URL</x:v>
      </x:c>
      <x:c r="H72" s="33" t="str">
        <x:v>https://dev.example.local</x:v>
      </x:c>
      <x:c r="I72" s="50" t="str"/>
      <x:c r="J72" s="33" t="str">
        <x:v>INTERNAL_SAMPLE</x:v>
      </x:c>
      <x:c r="K72" s="33" t="str">
        <x:v>Whole team</x:v>
      </x:c>
    </x:row>
    <x:row r="73" ht="24" customHeight="1">
      <x:c r="A73" s="33" t="str">
        <x:v>ESCA_HSE_01_Master_Data_and_Dictionary.xlsx</x:v>
      </x:c>
      <x:c r="B73" s="33" t="str">
        <x:v>Environments</x:v>
      </x:c>
      <x:c r="C73" s="33" t="str">
        <x:v>data_policy</x:v>
      </x:c>
      <x:c r="D73" s="33" t="str">
        <x:v>enum</x:v>
      </x:c>
      <x:c r="E73" s="34" t="b">
        <x:v>1</x:v>
      </x:c>
      <x:c r="F73" s="33" t="str"/>
      <x:c r="G73" s="50" t="str">
        <x:v>Permitted data classification</x:v>
      </x:c>
      <x:c r="H73" s="33" t="str">
        <x:v>SYNTHETIC_ONLY</x:v>
      </x:c>
      <x:c r="I73" s="50" t="str">
        <x:v>SYNTHETIC_ONLY</x:v>
      </x:c>
      <x:c r="J73" s="33" t="str">
        <x:v>INTERNAL_SAMPLE</x:v>
      </x:c>
      <x:c r="K73" s="33" t="str">
        <x:v>Whole team</x:v>
      </x:c>
    </x:row>
    <x:row r="74" ht="24" customHeight="1">
      <x:c r="A74" s="33" t="str">
        <x:v>ESCA_HSE_01_Master_Data_and_Dictionary.xlsx</x:v>
      </x:c>
      <x:c r="B74" s="33" t="str">
        <x:v>Environments</x:v>
      </x:c>
      <x:c r="C74" s="33" t="str">
        <x:v>deployment_mode</x:v>
      </x:c>
      <x:c r="D74" s="33" t="str">
        <x:v>enum</x:v>
      </x:c>
      <x:c r="E74" s="34" t="b">
        <x:v>1</x:v>
      </x:c>
      <x:c r="F74" s="33" t="str"/>
      <x:c r="G74" s="50" t="str">
        <x:v>Deployment mode</x:v>
      </x:c>
      <x:c r="H74" s="33" t="str">
        <x:v>Docker Compose</x:v>
      </x:c>
      <x:c r="I74" s="50" t="str"/>
      <x:c r="J74" s="33" t="str">
        <x:v>INTERNAL_SAMPLE</x:v>
      </x:c>
      <x:c r="K74" s="33" t="str">
        <x:v>Whole team</x:v>
      </x:c>
    </x:row>
    <x:row r="75" ht="24" customHeight="1">
      <x:c r="A75" s="33" t="str">
        <x:v>ESCA_HSE_01_Master_Data_and_Dictionary.xlsx</x:v>
      </x:c>
      <x:c r="B75" s="33" t="str">
        <x:v>Environments</x:v>
      </x:c>
      <x:c r="C75" s="33" t="str">
        <x:v>status</x:v>
      </x:c>
      <x:c r="D75" s="33" t="str">
        <x:v>enum</x:v>
      </x:c>
      <x:c r="E75" s="34" t="b">
        <x:v>1</x:v>
      </x:c>
      <x:c r="F75" s="33" t="str"/>
      <x:c r="G75" s="50" t="str">
        <x:v>Environment status</x:v>
      </x:c>
      <x:c r="H75" s="33" t="str">
        <x:v>ACTIVE</x:v>
      </x:c>
      <x:c r="I75" s="50" t="str">
        <x:v>ACTIVE | PLANNED | RETIRED</x:v>
      </x:c>
      <x:c r="J75" s="33" t="str">
        <x:v>INTERNAL_SAMPLE</x:v>
      </x:c>
      <x:c r="K75" s="33" t="str">
        <x:v>Whole team</x:v>
      </x:c>
    </x:row>
    <x:row r="76" ht="24" customHeight="1">
      <x:c r="A76" s="33" t="str">
        <x:v>ESCA_HSE_02_Core_Operations_Sample_Data.xlsx</x:v>
      </x:c>
      <x:c r="B76" s="33" t="str">
        <x:v>Incidents</x:v>
      </x:c>
      <x:c r="C76" s="33" t="str">
        <x:v>incident_id</x:v>
      </x:c>
      <x:c r="D76" s="33" t="str">
        <x:v>id</x:v>
      </x:c>
      <x:c r="E76" s="34" t="b">
        <x:v>1</x:v>
      </x:c>
      <x:c r="F76" s="33" t="str">
        <x:v>PK</x:v>
      </x:c>
      <x:c r="G76" s="50" t="str">
        <x:v>Unique incident identifier</x:v>
      </x:c>
      <x:c r="H76" s="33" t="str">
        <x:v>INC-2026-0089</x:v>
      </x:c>
      <x:c r="I76" s="50" t="str"/>
      <x:c r="J76" s="33" t="str">
        <x:v>INTERNAL_SAMPLE</x:v>
      </x:c>
      <x:c r="K76" s="33" t="str">
        <x:v>Member 1</x:v>
      </x:c>
    </x:row>
    <x:row r="77" ht="24" customHeight="1">
      <x:c r="A77" s="33" t="str">
        <x:v>ESCA_HSE_02_Core_Operations_Sample_Data.xlsx</x:v>
      </x:c>
      <x:c r="B77" s="33" t="str">
        <x:v>Incidents</x:v>
      </x:c>
      <x:c r="C77" s="33" t="str">
        <x:v>reported_at</x:v>
      </x:c>
      <x:c r="D77" s="33" t="str">
        <x:v>datetime</x:v>
      </x:c>
      <x:c r="E77" s="34" t="b">
        <x:v>1</x:v>
      </x:c>
      <x:c r="F77" s="33" t="str"/>
      <x:c r="G77" s="50" t="str">
        <x:v>Report timestamp</x:v>
      </x:c>
      <x:c r="H77" s="33" t="n">
        <x:v>46240.2625</x:v>
      </x:c>
      <x:c r="I77" s="50" t="str"/>
      <x:c r="J77" s="33" t="str">
        <x:v>INTERNAL_SAMPLE</x:v>
      </x:c>
      <x:c r="K77" s="33" t="str">
        <x:v>Member 1</x:v>
      </x:c>
    </x:row>
    <x:row r="78" ht="24" customHeight="1">
      <x:c r="A78" s="33" t="str">
        <x:v>ESCA_HSE_02_Core_Operations_Sample_Data.xlsx</x:v>
      </x:c>
      <x:c r="B78" s="33" t="str">
        <x:v>Incidents</x:v>
      </x:c>
      <x:c r="C78" s="33" t="str">
        <x:v>department_id</x:v>
      </x:c>
      <x:c r="D78" s="33" t="str">
        <x:v>id</x:v>
      </x:c>
      <x:c r="E78" s="34" t="b">
        <x:v>1</x:v>
      </x:c>
      <x:c r="F78" s="33" t="str">
        <x:v>FK -&gt; Departments.department_id</x:v>
      </x:c>
      <x:c r="G78" s="50" t="str">
        <x:v>Department</x:v>
      </x:c>
      <x:c r="H78" s="33" t="str">
        <x:v>DEP-MAINT</x:v>
      </x:c>
      <x:c r="I78" s="50" t="str"/>
      <x:c r="J78" s="33" t="str">
        <x:v>INTERNAL_SAMPLE</x:v>
      </x:c>
      <x:c r="K78" s="33" t="str">
        <x:v>Member 1</x:v>
      </x:c>
    </x:row>
    <x:row r="79" ht="24" customHeight="1">
      <x:c r="A79" s="33" t="str">
        <x:v>ESCA_HSE_02_Core_Operations_Sample_Data.xlsx</x:v>
      </x:c>
      <x:c r="B79" s="33" t="str">
        <x:v>Incidents</x:v>
      </x:c>
      <x:c r="C79" s="33" t="str">
        <x:v>zone_id</x:v>
      </x:c>
      <x:c r="D79" s="33" t="str">
        <x:v>id</x:v>
      </x:c>
      <x:c r="E79" s="34" t="b">
        <x:v>1</x:v>
      </x:c>
      <x:c r="F79" s="33" t="str">
        <x:v>FK -&gt; Zones.zone_id</x:v>
      </x:c>
      <x:c r="G79" s="50" t="str">
        <x:v>Zone</x:v>
      </x:c>
      <x:c r="H79" s="33" t="str">
        <x:v>ZN-M01</x:v>
      </x:c>
      <x:c r="I79" s="50" t="str"/>
      <x:c r="J79" s="33" t="str">
        <x:v>INTERNAL_SAMPLE</x:v>
      </x:c>
      <x:c r="K79" s="33" t="str">
        <x:v>Member 1</x:v>
      </x:c>
    </x:row>
    <x:row r="80" ht="24" customHeight="1">
      <x:c r="A80" s="33" t="str">
        <x:v>ESCA_HSE_02_Core_Operations_Sample_Data.xlsx</x:v>
      </x:c>
      <x:c r="B80" s="33" t="str">
        <x:v>Incidents</x:v>
      </x:c>
      <x:c r="C80" s="33" t="str">
        <x:v>reported_by</x:v>
      </x:c>
      <x:c r="D80" s="33" t="str">
        <x:v>id</x:v>
      </x:c>
      <x:c r="E80" s="34" t="b">
        <x:v>1</x:v>
      </x:c>
      <x:c r="F80" s="33" t="str">
        <x:v>FK -&gt; Employees.employee_id</x:v>
      </x:c>
      <x:c r="G80" s="50" t="str">
        <x:v>Reporter</x:v>
      </x:c>
      <x:c r="H80" s="33" t="str">
        <x:v>EMP-015</x:v>
      </x:c>
      <x:c r="I80" s="50" t="str"/>
      <x:c r="J80" s="33" t="str">
        <x:v>INTERNAL_SAMPLE</x:v>
      </x:c>
      <x:c r="K80" s="33" t="str">
        <x:v>Member 1</x:v>
      </x:c>
    </x:row>
    <x:row r="81" ht="24" customHeight="1">
      <x:c r="A81" s="33" t="str">
        <x:v>ESCA_HSE_02_Core_Operations_Sample_Data.xlsx</x:v>
      </x:c>
      <x:c r="B81" s="33" t="str">
        <x:v>Incidents</x:v>
      </x:c>
      <x:c r="C81" s="33" t="str">
        <x:v>incident_type</x:v>
      </x:c>
      <x:c r="D81" s="33" t="str">
        <x:v>enum</x:v>
      </x:c>
      <x:c r="E81" s="34" t="b">
        <x:v>1</x:v>
      </x:c>
      <x:c r="F81" s="33" t="str"/>
      <x:c r="G81" s="50" t="str">
        <x:v>Incident classification</x:v>
      </x:c>
      <x:c r="H81" s="33" t="str">
        <x:v>FIRST_AID</x:v>
      </x:c>
      <x:c r="I81" s="50" t="str">
        <x:v>LTI | FIRST_AID | NEAR_MISS | UNSAFE_CONDITION | UNSAFE_ACT | PROPERTY_DAMAGE</x:v>
      </x:c>
      <x:c r="J81" s="33" t="str">
        <x:v>INTERNAL_SAMPLE</x:v>
      </x:c>
      <x:c r="K81" s="33" t="str">
        <x:v>Member 1</x:v>
      </x:c>
    </x:row>
    <x:row r="82" ht="24" customHeight="1">
      <x:c r="A82" s="33" t="str">
        <x:v>ESCA_HSE_02_Core_Operations_Sample_Data.xlsx</x:v>
      </x:c>
      <x:c r="B82" s="33" t="str">
        <x:v>Incidents</x:v>
      </x:c>
      <x:c r="C82" s="33" t="str">
        <x:v>severity</x:v>
      </x:c>
      <x:c r="D82" s="33" t="str">
        <x:v>enum</x:v>
      </x:c>
      <x:c r="E82" s="34" t="b">
        <x:v>1</x:v>
      </x:c>
      <x:c r="F82" s="33" t="str"/>
      <x:c r="G82" s="50" t="str">
        <x:v>Severity class</x:v>
      </x:c>
      <x:c r="H82" s="33" t="str">
        <x:v>MAJOR</x:v>
      </x:c>
      <x:c r="I82" s="50" t="str">
        <x:v>MINOR | MODERATE | MAJOR | CRITICAL</x:v>
      </x:c>
      <x:c r="J82" s="33" t="str">
        <x:v>INTERNAL_SAMPLE</x:v>
      </x:c>
      <x:c r="K82" s="33" t="str">
        <x:v>Member 1</x:v>
      </x:c>
    </x:row>
    <x:row r="83" ht="24" customHeight="1">
      <x:c r="A83" s="33" t="str">
        <x:v>ESCA_HSE_02_Core_Operations_Sample_Data.xlsx</x:v>
      </x:c>
      <x:c r="B83" s="33" t="str">
        <x:v>Incidents</x:v>
      </x:c>
      <x:c r="C83" s="33" t="str">
        <x:v>title</x:v>
      </x:c>
      <x:c r="D83" s="33" t="str">
        <x:v>text</x:v>
      </x:c>
      <x:c r="E83" s="34" t="b">
        <x:v>1</x:v>
      </x:c>
      <x:c r="F83" s="33" t="str"/>
      <x:c r="G83" s="50" t="str">
        <x:v>Short incident title</x:v>
      </x:c>
      <x:c r="H83" s="33" t="str">
        <x:v>Hand cut during guard adjustment</x:v>
      </x:c>
      <x:c r="I83" s="50" t="str"/>
      <x:c r="J83" s="33" t="str">
        <x:v>INTERNAL_SAMPLE</x:v>
      </x:c>
      <x:c r="K83" s="33" t="str">
        <x:v>Member 1</x:v>
      </x:c>
    </x:row>
    <x:row r="84" ht="24" customHeight="1">
      <x:c r="A84" s="33" t="str">
        <x:v>ESCA_HSE_02_Core_Operations_Sample_Data.xlsx</x:v>
      </x:c>
      <x:c r="B84" s="33" t="str">
        <x:v>Incidents</x:v>
      </x:c>
      <x:c r="C84" s="33" t="str">
        <x:v>description</x:v>
      </x:c>
      <x:c r="D84" s="33" t="str">
        <x:v>long_text</x:v>
      </x:c>
      <x:c r="E84" s="34" t="b">
        <x:v>1</x:v>
      </x:c>
      <x:c r="F84" s="33" t="str"/>
      <x:c r="G84" s="50" t="str">
        <x:v>Synthetic incident description</x:v>
      </x:c>
      <x:c r="H84" s="33" t="str">
        <x:v>Synthetic hand injury while adjusting a machine guard; no personal details.</x:v>
      </x:c>
      <x:c r="I84" s="50" t="str"/>
      <x:c r="J84" s="33" t="str">
        <x:v>INTERNAL_SAMPLE</x:v>
      </x:c>
      <x:c r="K84" s="33" t="str">
        <x:v>Member 1</x:v>
      </x:c>
    </x:row>
    <x:row r="85" ht="24" customHeight="1">
      <x:c r="A85" s="33" t="str">
        <x:v>ESCA_HSE_02_Core_Operations_Sample_Data.xlsx</x:v>
      </x:c>
      <x:c r="B85" s="33" t="str">
        <x:v>Incidents</x:v>
      </x:c>
      <x:c r="C85" s="33" t="str">
        <x:v>injured_employee_id</x:v>
      </x:c>
      <x:c r="D85" s="33" t="str">
        <x:v>id</x:v>
      </x:c>
      <x:c r="E85" s="34" t="b">
        <x:v>0</x:v>
      </x:c>
      <x:c r="F85" s="33" t="str">
        <x:v>FK -&gt; Employees.employee_id</x:v>
      </x:c>
      <x:c r="G85" s="50" t="str">
        <x:v>Synthetic injured employee</x:v>
      </x:c>
      <x:c r="H85" s="33" t="str">
        <x:v>EMP-021</x:v>
      </x:c>
      <x:c r="I85" s="50" t="str"/>
      <x:c r="J85" s="33" t="str">
        <x:v>INTERNAL_SAMPLE</x:v>
      </x:c>
      <x:c r="K85" s="33" t="str">
        <x:v>Member 1</x:v>
      </x:c>
    </x:row>
    <x:row r="86" ht="24" customHeight="1">
      <x:c r="A86" s="33" t="str">
        <x:v>ESCA_HSE_02_Core_Operations_Sample_Data.xlsx</x:v>
      </x:c>
      <x:c r="B86" s="33" t="str">
        <x:v>Incidents</x:v>
      </x:c>
      <x:c r="C86" s="33" t="str">
        <x:v>lost_days</x:v>
      </x:c>
      <x:c r="D86" s="33" t="str">
        <x:v>integer</x:v>
      </x:c>
      <x:c r="E86" s="34" t="b">
        <x:v>1</x:v>
      </x:c>
      <x:c r="F86" s="33" t="str"/>
      <x:c r="G86" s="50" t="str">
        <x:v>Lost work days</x:v>
      </x:c>
      <x:c r="H86" s="33" t="str">
        <x:v>0</x:v>
      </x:c>
      <x:c r="I86" s="50" t="str"/>
      <x:c r="J86" s="33" t="str">
        <x:v>INTERNAL_SAMPLE</x:v>
      </x:c>
      <x:c r="K86" s="33" t="str">
        <x:v>Member 1</x:v>
      </x:c>
    </x:row>
    <x:row r="87" ht="24" customHeight="1">
      <x:c r="A87" s="33" t="str">
        <x:v>ESCA_HSE_02_Core_Operations_Sample_Data.xlsx</x:v>
      </x:c>
      <x:c r="B87" s="33" t="str">
        <x:v>Incidents</x:v>
      </x:c>
      <x:c r="C87" s="33" t="str">
        <x:v>status</x:v>
      </x:c>
      <x:c r="D87" s="33" t="str">
        <x:v>enum</x:v>
      </x:c>
      <x:c r="E87" s="34" t="b">
        <x:v>1</x:v>
      </x:c>
      <x:c r="F87" s="33" t="str"/>
      <x:c r="G87" s="50" t="str">
        <x:v>Incident workflow state</x:v>
      </x:c>
      <x:c r="H87" s="33" t="str">
        <x:v>INVESTIGATING</x:v>
      </x:c>
      <x:c r="I87" s="50" t="str">
        <x:v>REPORTED | CLASSIFIED | INVESTIGATING | CAPA_ASSIGNED | PENDING_VERIFICATION | CLOSED</x:v>
      </x:c>
      <x:c r="J87" s="33" t="str">
        <x:v>INTERNAL_SAMPLE</x:v>
      </x:c>
      <x:c r="K87" s="33" t="str">
        <x:v>Member 1</x:v>
      </x:c>
    </x:row>
    <x:row r="88" ht="24" customHeight="1">
      <x:c r="A88" s="33" t="str">
        <x:v>ESCA_HSE_02_Core_Operations_Sample_Data.xlsx</x:v>
      </x:c>
      <x:c r="B88" s="33" t="str">
        <x:v>Incidents</x:v>
      </x:c>
      <x:c r="C88" s="33" t="str">
        <x:v>investigation_owner_id</x:v>
      </x:c>
      <x:c r="D88" s="33" t="str">
        <x:v>id</x:v>
      </x:c>
      <x:c r="E88" s="34" t="b">
        <x:v>1</x:v>
      </x:c>
      <x:c r="F88" s="33" t="str">
        <x:v>FK -&gt; Employees.employee_id</x:v>
      </x:c>
      <x:c r="G88" s="50" t="str">
        <x:v>Investigation owner</x:v>
      </x:c>
      <x:c r="H88" s="33" t="str">
        <x:v>EMP-010</x:v>
      </x:c>
      <x:c r="I88" s="50" t="str"/>
      <x:c r="J88" s="33" t="str">
        <x:v>INTERNAL_SAMPLE</x:v>
      </x:c>
      <x:c r="K88" s="33" t="str">
        <x:v>Member 1</x:v>
      </x:c>
    </x:row>
    <x:row r="89" ht="24" customHeight="1">
      <x:c r="A89" s="33" t="str">
        <x:v>ESCA_HSE_02_Core_Operations_Sample_Data.xlsx</x:v>
      </x:c>
      <x:c r="B89" s="33" t="str">
        <x:v>Incidents</x:v>
      </x:c>
      <x:c r="C89" s="33" t="str">
        <x:v>target_close_date</x:v>
      </x:c>
      <x:c r="D89" s="33" t="str">
        <x:v>date</x:v>
      </x:c>
      <x:c r="E89" s="34" t="b">
        <x:v>1</x:v>
      </x:c>
      <x:c r="F89" s="33" t="str"/>
      <x:c r="G89" s="50" t="str">
        <x:v>Target closure date</x:v>
      </x:c>
      <x:c r="H89" s="33" t="n">
        <x:v>46254</x:v>
      </x:c>
      <x:c r="I89" s="50" t="str"/>
      <x:c r="J89" s="33" t="str">
        <x:v>INTERNAL_SAMPLE</x:v>
      </x:c>
      <x:c r="K89" s="33" t="str">
        <x:v>Member 1</x:v>
      </x:c>
    </x:row>
    <x:row r="90" ht="24" customHeight="1">
      <x:c r="A90" s="33" t="str">
        <x:v>ESCA_HSE_02_Core_Operations_Sample_Data.xlsx</x:v>
      </x:c>
      <x:c r="B90" s="33" t="str">
        <x:v>Incidents</x:v>
      </x:c>
      <x:c r="C90" s="33" t="str">
        <x:v>actual_close_date</x:v>
      </x:c>
      <x:c r="D90" s="33" t="str">
        <x:v>date</x:v>
      </x:c>
      <x:c r="E90" s="34" t="b">
        <x:v>0</x:v>
      </x:c>
      <x:c r="F90" s="33" t="str"/>
      <x:c r="G90" s="50" t="str">
        <x:v>Actual closure date</x:v>
      </x:c>
      <x:c r="H90" s="33" t="n">
        <x:v>46237</x:v>
      </x:c>
      <x:c r="I90" s="50" t="str"/>
      <x:c r="J90" s="33" t="str">
        <x:v>INTERNAL_SAMPLE</x:v>
      </x:c>
      <x:c r="K90" s="33" t="str">
        <x:v>Member 1</x:v>
      </x:c>
    </x:row>
    <x:row r="91" ht="24" customHeight="1">
      <x:c r="A91" s="33" t="str">
        <x:v>ESCA_HSE_02_Core_Operations_Sample_Data.xlsx</x:v>
      </x:c>
      <x:c r="B91" s="33" t="str">
        <x:v>Incidents</x:v>
      </x:c>
      <x:c r="C91" s="33" t="str">
        <x:v>source</x:v>
      </x:c>
      <x:c r="D91" s="33" t="str">
        <x:v>enum</x:v>
      </x:c>
      <x:c r="E91" s="34" t="b">
        <x:v>1</x:v>
      </x:c>
      <x:c r="F91" s="33" t="str"/>
      <x:c r="G91" s="50" t="str">
        <x:v>Report source</x:v>
      </x:c>
      <x:c r="H91" s="33" t="str">
        <x:v>WEB</x:v>
      </x:c>
      <x:c r="I91" s="50" t="str">
        <x:v>WEB | MOBILE | INSPECTION | AI_EVENT | IOT_EVENT</x:v>
      </x:c>
      <x:c r="J91" s="33" t="str">
        <x:v>INTERNAL_SAMPLE</x:v>
      </x:c>
      <x:c r="K91" s="33" t="str">
        <x:v>Member 1</x:v>
      </x:c>
    </x:row>
    <x:row r="92" ht="24" customHeight="1">
      <x:c r="A92" s="33" t="str">
        <x:v>ESCA_HSE_02_Core_Operations_Sample_Data.xlsx</x:v>
      </x:c>
      <x:c r="B92" s="33" t="str">
        <x:v>Inspections</x:v>
      </x:c>
      <x:c r="C92" s="33" t="str">
        <x:v>inspection_id</x:v>
      </x:c>
      <x:c r="D92" s="33" t="str">
        <x:v>id</x:v>
      </x:c>
      <x:c r="E92" s="34" t="b">
        <x:v>1</x:v>
      </x:c>
      <x:c r="F92" s="33" t="str">
        <x:v>PK</x:v>
      </x:c>
      <x:c r="G92" s="50" t="str">
        <x:v>Unique inspection identifier</x:v>
      </x:c>
      <x:c r="H92" s="33" t="str">
        <x:v>INS-2026-0129</x:v>
      </x:c>
      <x:c r="I92" s="50" t="str"/>
      <x:c r="J92" s="33" t="str">
        <x:v>INTERNAL_SAMPLE</x:v>
      </x:c>
      <x:c r="K92" s="33" t="str">
        <x:v>Member 2</x:v>
      </x:c>
    </x:row>
    <x:row r="93" ht="24" customHeight="1">
      <x:c r="A93" s="33" t="str">
        <x:v>ESCA_HSE_02_Core_Operations_Sample_Data.xlsx</x:v>
      </x:c>
      <x:c r="B93" s="33" t="str">
        <x:v>Inspections</x:v>
      </x:c>
      <x:c r="C93" s="33" t="str">
        <x:v>inspection_type</x:v>
      </x:c>
      <x:c r="D93" s="33" t="str">
        <x:v>enum</x:v>
      </x:c>
      <x:c r="E93" s="34" t="b">
        <x:v>1</x:v>
      </x:c>
      <x:c r="F93" s="33" t="str"/>
      <x:c r="G93" s="50" t="str">
        <x:v>Inspection template type</x:v>
      </x:c>
      <x:c r="H93" s="33" t="str">
        <x:v>SAFETY_WALK</x:v>
      </x:c>
      <x:c r="I93" s="50" t="str"/>
      <x:c r="J93" s="33" t="str">
        <x:v>INTERNAL_SAMPLE</x:v>
      </x:c>
      <x:c r="K93" s="33" t="str">
        <x:v>Member 2</x:v>
      </x:c>
    </x:row>
    <x:row r="94" ht="24" customHeight="1">
      <x:c r="A94" s="33" t="str">
        <x:v>ESCA_HSE_02_Core_Operations_Sample_Data.xlsx</x:v>
      </x:c>
      <x:c r="B94" s="33" t="str">
        <x:v>Inspections</x:v>
      </x:c>
      <x:c r="C94" s="33" t="str">
        <x:v>department_id</x:v>
      </x:c>
      <x:c r="D94" s="33" t="str">
        <x:v>id</x:v>
      </x:c>
      <x:c r="E94" s="34" t="b">
        <x:v>1</x:v>
      </x:c>
      <x:c r="F94" s="33" t="str">
        <x:v>FK -&gt; Departments.department_id</x:v>
      </x:c>
      <x:c r="G94" s="50" t="str">
        <x:v>Department</x:v>
      </x:c>
      <x:c r="H94" s="33" t="str">
        <x:v>DEP-PROD-A</x:v>
      </x:c>
      <x:c r="I94" s="50" t="str"/>
      <x:c r="J94" s="33" t="str">
        <x:v>INTERNAL_SAMPLE</x:v>
      </x:c>
      <x:c r="K94" s="33" t="str">
        <x:v>Member 2</x:v>
      </x:c>
    </x:row>
    <x:row r="95" ht="24" customHeight="1">
      <x:c r="A95" s="33" t="str">
        <x:v>ESCA_HSE_02_Core_Operations_Sample_Data.xlsx</x:v>
      </x:c>
      <x:c r="B95" s="33" t="str">
        <x:v>Inspections</x:v>
      </x:c>
      <x:c r="C95" s="33" t="str">
        <x:v>zone_id</x:v>
      </x:c>
      <x:c r="D95" s="33" t="str">
        <x:v>id</x:v>
      </x:c>
      <x:c r="E95" s="34" t="b">
        <x:v>1</x:v>
      </x:c>
      <x:c r="F95" s="33" t="str">
        <x:v>FK -&gt; Zones.zone_id</x:v>
      </x:c>
      <x:c r="G95" s="50" t="str">
        <x:v>Zone</x:v>
      </x:c>
      <x:c r="H95" s="33" t="str">
        <x:v>ZN-A1</x:v>
      </x:c>
      <x:c r="I95" s="50" t="str"/>
      <x:c r="J95" s="33" t="str">
        <x:v>INTERNAL_SAMPLE</x:v>
      </x:c>
      <x:c r="K95" s="33" t="str">
        <x:v>Member 2</x:v>
      </x:c>
    </x:row>
    <x:row r="96" ht="24" customHeight="1">
      <x:c r="A96" s="33" t="str">
        <x:v>ESCA_HSE_02_Core_Operations_Sample_Data.xlsx</x:v>
      </x:c>
      <x:c r="B96" s="33" t="str">
        <x:v>Inspections</x:v>
      </x:c>
      <x:c r="C96" s="33" t="str">
        <x:v>scheduled_at</x:v>
      </x:c>
      <x:c r="D96" s="33" t="str">
        <x:v>datetime</x:v>
      </x:c>
      <x:c r="E96" s="34" t="b">
        <x:v>1</x:v>
      </x:c>
      <x:c r="F96" s="33" t="str"/>
      <x:c r="G96" s="50" t="str">
        <x:v>Scheduled start</x:v>
      </x:c>
      <x:c r="H96" s="33" t="n">
        <x:v>46246.291666666664</x:v>
      </x:c>
      <x:c r="I96" s="50" t="str"/>
      <x:c r="J96" s="33" t="str">
        <x:v>INTERNAL_SAMPLE</x:v>
      </x:c>
      <x:c r="K96" s="33" t="str">
        <x:v>Member 2</x:v>
      </x:c>
    </x:row>
    <x:row r="97" ht="24" customHeight="1">
      <x:c r="A97" s="33" t="str">
        <x:v>ESCA_HSE_02_Core_Operations_Sample_Data.xlsx</x:v>
      </x:c>
      <x:c r="B97" s="33" t="str">
        <x:v>Inspections</x:v>
      </x:c>
      <x:c r="C97" s="33" t="str">
        <x:v>completed_at</x:v>
      </x:c>
      <x:c r="D97" s="33" t="str">
        <x:v>datetime</x:v>
      </x:c>
      <x:c r="E97" s="34" t="b">
        <x:v>0</x:v>
      </x:c>
      <x:c r="F97" s="33" t="str"/>
      <x:c r="G97" s="50" t="str">
        <x:v>Completion timestamp</x:v>
      </x:c>
      <x:c r="H97" s="33" t="n">
        <x:v>46246.336805555555</x:v>
      </x:c>
      <x:c r="I97" s="50" t="str"/>
      <x:c r="J97" s="33" t="str">
        <x:v>INTERNAL_SAMPLE</x:v>
      </x:c>
      <x:c r="K97" s="33" t="str">
        <x:v>Member 2</x:v>
      </x:c>
    </x:row>
    <x:row r="98" ht="24" customHeight="1">
      <x:c r="A98" s="33" t="str">
        <x:v>ESCA_HSE_02_Core_Operations_Sample_Data.xlsx</x:v>
      </x:c>
      <x:c r="B98" s="33" t="str">
        <x:v>Inspections</x:v>
      </x:c>
      <x:c r="C98" s="33" t="str">
        <x:v>lead_inspector_id</x:v>
      </x:c>
      <x:c r="D98" s="33" t="str">
        <x:v>id</x:v>
      </x:c>
      <x:c r="E98" s="34" t="b">
        <x:v>1</x:v>
      </x:c>
      <x:c r="F98" s="33" t="str">
        <x:v>FK -&gt; Employees.employee_id</x:v>
      </x:c>
      <x:c r="G98" s="50" t="str">
        <x:v>Lead inspector</x:v>
      </x:c>
      <x:c r="H98" s="33" t="str">
        <x:v>EMP-010</x:v>
      </x:c>
      <x:c r="I98" s="50" t="str"/>
      <x:c r="J98" s="33" t="str">
        <x:v>INTERNAL_SAMPLE</x:v>
      </x:c>
      <x:c r="K98" s="33" t="str">
        <x:v>Member 2</x:v>
      </x:c>
    </x:row>
    <x:row r="99" ht="24" customHeight="1">
      <x:c r="A99" s="33" t="str">
        <x:v>ESCA_HSE_02_Core_Operations_Sample_Data.xlsx</x:v>
      </x:c>
      <x:c r="B99" s="33" t="str">
        <x:v>Inspections</x:v>
      </x:c>
      <x:c r="C99" s="33" t="str">
        <x:v>status</x:v>
      </x:c>
      <x:c r="D99" s="33" t="str">
        <x:v>enum</x:v>
      </x:c>
      <x:c r="E99" s="34" t="b">
        <x:v>1</x:v>
      </x:c>
      <x:c r="F99" s="33" t="str"/>
      <x:c r="G99" s="50" t="str">
        <x:v>Inspection state</x:v>
      </x:c>
      <x:c r="H99" s="33" t="str">
        <x:v>COMPLETED</x:v>
      </x:c>
      <x:c r="I99" s="50" t="str">
        <x:v>SCHEDULED | IN_PROGRESS | COMPLETED | OVERDUE | CANCELLED</x:v>
      </x:c>
      <x:c r="J99" s="33" t="str">
        <x:v>INTERNAL_SAMPLE</x:v>
      </x:c>
      <x:c r="K99" s="33" t="str">
        <x:v>Member 2</x:v>
      </x:c>
    </x:row>
    <x:row r="100" ht="24" customHeight="1">
      <x:c r="A100" s="33" t="str">
        <x:v>ESCA_HSE_02_Core_Operations_Sample_Data.xlsx</x:v>
      </x:c>
      <x:c r="B100" s="33" t="str">
        <x:v>Inspections</x:v>
      </x:c>
      <x:c r="C100" s="33" t="str">
        <x:v>score_pct</x:v>
      </x:c>
      <x:c r="D100" s="33" t="str">
        <x:v>percent</x:v>
      </x:c>
      <x:c r="E100" s="34" t="b">
        <x:v>0</x:v>
      </x:c>
      <x:c r="F100" s="33" t="str"/>
      <x:c r="G100" s="50" t="str">
        <x:v>Inspection compliance score</x:v>
      </x:c>
      <x:c r="H100" s="33" t="str">
        <x:v>0.82</x:v>
      </x:c>
      <x:c r="I100" s="50" t="str"/>
      <x:c r="J100" s="33" t="str">
        <x:v>INTERNAL_SAMPLE</x:v>
      </x:c>
      <x:c r="K100" s="33" t="str">
        <x:v>Member 2</x:v>
      </x:c>
    </x:row>
    <x:row r="101" ht="24" customHeight="1">
      <x:c r="A101" s="33" t="str">
        <x:v>ESCA_HSE_02_Core_Operations_Sample_Data.xlsx</x:v>
      </x:c>
      <x:c r="B101" s="33" t="str">
        <x:v>Inspections</x:v>
      </x:c>
      <x:c r="C101" s="33" t="str">
        <x:v>mobile_mode</x:v>
      </x:c>
      <x:c r="D101" s="33" t="str">
        <x:v>enum</x:v>
      </x:c>
      <x:c r="E101" s="34" t="b">
        <x:v>1</x:v>
      </x:c>
      <x:c r="F101" s="33" t="str"/>
      <x:c r="G101" s="50" t="str">
        <x:v>Mobile connectivity mode</x:v>
      </x:c>
      <x:c r="H101" s="33" t="str">
        <x:v>ONLINE</x:v>
      </x:c>
      <x:c r="I101" s="50" t="str">
        <x:v>ONLINE | OFFLINE</x:v>
      </x:c>
      <x:c r="J101" s="33" t="str">
        <x:v>INTERNAL_SAMPLE</x:v>
      </x:c>
      <x:c r="K101" s="33" t="str">
        <x:v>Member 2</x:v>
      </x:c>
    </x:row>
    <x:row r="102" ht="24" customHeight="1">
      <x:c r="A102" s="33" t="str">
        <x:v>ESCA_HSE_02_Core_Operations_Sample_Data.xlsx</x:v>
      </x:c>
      <x:c r="B102" s="33" t="str">
        <x:v>Inspections</x:v>
      </x:c>
      <x:c r="C102" s="33" t="str">
        <x:v>checklist_version</x:v>
      </x:c>
      <x:c r="D102" s="33" t="str">
        <x:v>text</x:v>
      </x:c>
      <x:c r="E102" s="34" t="b">
        <x:v>1</x:v>
      </x:c>
      <x:c r="F102" s="33" t="str"/>
      <x:c r="G102" s="50" t="str">
        <x:v>Checklist version</x:v>
      </x:c>
      <x:c r="H102" s="33" t="str">
        <x:v>SW-3.2</x:v>
      </x:c>
      <x:c r="I102" s="50" t="str"/>
      <x:c r="J102" s="33" t="str">
        <x:v>INTERNAL_SAMPLE</x:v>
      </x:c>
      <x:c r="K102" s="33" t="str">
        <x:v>Member 2</x:v>
      </x:c>
    </x:row>
    <x:row r="103" ht="24" customHeight="1">
      <x:c r="A103" s="33" t="str">
        <x:v>ESCA_HSE_02_Core_Operations_Sample_Data.xlsx</x:v>
      </x:c>
      <x:c r="B103" s="33" t="str">
        <x:v>Inspections</x:v>
      </x:c>
      <x:c r="C103" s="33" t="str">
        <x:v>notes</x:v>
      </x:c>
      <x:c r="D103" s="33" t="str">
        <x:v>long_text</x:v>
      </x:c>
      <x:c r="E103" s="34" t="b">
        <x:v>0</x:v>
      </x:c>
      <x:c r="F103" s="33" t="str"/>
      <x:c r="G103" s="50" t="str">
        <x:v>Inspection notes</x:v>
      </x:c>
      <x:c r="H103" s="33" t="str">
        <x:v>Three corrective actions generated.</x:v>
      </x:c>
      <x:c r="I103" s="50" t="str"/>
      <x:c r="J103" s="33" t="str">
        <x:v>INTERNAL_SAMPLE</x:v>
      </x:c>
      <x:c r="K103" s="33" t="str">
        <x:v>Member 2</x:v>
      </x:c>
    </x:row>
    <x:row r="104" ht="24" customHeight="1">
      <x:c r="A104" s="33" t="str">
        <x:v>ESCA_HSE_02_Core_Operations_Sample_Data.xlsx</x:v>
      </x:c>
      <x:c r="B104" s="33" t="str">
        <x:v>Findings</x:v>
      </x:c>
      <x:c r="C104" s="33" t="str">
        <x:v>finding_id</x:v>
      </x:c>
      <x:c r="D104" s="33" t="str">
        <x:v>id</x:v>
      </x:c>
      <x:c r="E104" s="34" t="b">
        <x:v>1</x:v>
      </x:c>
      <x:c r="F104" s="33" t="str">
        <x:v>PK</x:v>
      </x:c>
      <x:c r="G104" s="50" t="str">
        <x:v>Unique finding</x:v>
      </x:c>
      <x:c r="H104" s="33" t="str">
        <x:v>FND-001</x:v>
      </x:c>
      <x:c r="I104" s="50" t="str"/>
      <x:c r="J104" s="33" t="str">
        <x:v>INTERNAL_SAMPLE</x:v>
      </x:c>
      <x:c r="K104" s="33" t="str">
        <x:v>Member 2</x:v>
      </x:c>
    </x:row>
    <x:row r="105" ht="24" customHeight="1">
      <x:c r="A105" s="33" t="str">
        <x:v>ESCA_HSE_02_Core_Operations_Sample_Data.xlsx</x:v>
      </x:c>
      <x:c r="B105" s="33" t="str">
        <x:v>Findings</x:v>
      </x:c>
      <x:c r="C105" s="33" t="str">
        <x:v>inspection_id</x:v>
      </x:c>
      <x:c r="D105" s="33" t="str">
        <x:v>id</x:v>
      </x:c>
      <x:c r="E105" s="34" t="b">
        <x:v>1</x:v>
      </x:c>
      <x:c r="F105" s="33" t="str">
        <x:v>FK -&gt; Inspections.inspection_id</x:v>
      </x:c>
      <x:c r="G105" s="50" t="str">
        <x:v>Parent inspection</x:v>
      </x:c>
      <x:c r="H105" s="33" t="str">
        <x:v>INS-2026-0129</x:v>
      </x:c>
      <x:c r="I105" s="50" t="str"/>
      <x:c r="J105" s="33" t="str">
        <x:v>INTERNAL_SAMPLE</x:v>
      </x:c>
      <x:c r="K105" s="33" t="str">
        <x:v>Member 2</x:v>
      </x:c>
    </x:row>
    <x:row r="106" ht="24" customHeight="1">
      <x:c r="A106" s="33" t="str">
        <x:v>ESCA_HSE_02_Core_Operations_Sample_Data.xlsx</x:v>
      </x:c>
      <x:c r="B106" s="33" t="str">
        <x:v>Findings</x:v>
      </x:c>
      <x:c r="C106" s="33" t="str">
        <x:v>category</x:v>
      </x:c>
      <x:c r="D106" s="33" t="str">
        <x:v>enum</x:v>
      </x:c>
      <x:c r="E106" s="34" t="b">
        <x:v>1</x:v>
      </x:c>
      <x:c r="F106" s="33" t="str"/>
      <x:c r="G106" s="50" t="str">
        <x:v>Finding category</x:v>
      </x:c>
      <x:c r="H106" s="33" t="str">
        <x:v>MACHINE_GUARDING</x:v>
      </x:c>
      <x:c r="I106" s="50" t="str"/>
      <x:c r="J106" s="33" t="str">
        <x:v>INTERNAL_SAMPLE</x:v>
      </x:c>
      <x:c r="K106" s="33" t="str">
        <x:v>Member 2</x:v>
      </x:c>
    </x:row>
    <x:row r="107" ht="24" customHeight="1">
      <x:c r="A107" s="33" t="str">
        <x:v>ESCA_HSE_02_Core_Operations_Sample_Data.xlsx</x:v>
      </x:c>
      <x:c r="B107" s="33" t="str">
        <x:v>Findings</x:v>
      </x:c>
      <x:c r="C107" s="33" t="str">
        <x:v>description</x:v>
      </x:c>
      <x:c r="D107" s="33" t="str">
        <x:v>long_text</x:v>
      </x:c>
      <x:c r="E107" s="34" t="b">
        <x:v>1</x:v>
      </x:c>
      <x:c r="F107" s="33" t="str"/>
      <x:c r="G107" s="50" t="str">
        <x:v>Finding description</x:v>
      </x:c>
      <x:c r="H107" s="33" t="str">
        <x:v>Guard gap exceeds local standard on cutter 3.</x:v>
      </x:c>
      <x:c r="I107" s="50" t="str"/>
      <x:c r="J107" s="33" t="str">
        <x:v>INTERNAL_SAMPLE</x:v>
      </x:c>
      <x:c r="K107" s="33" t="str">
        <x:v>Member 2</x:v>
      </x:c>
    </x:row>
    <x:row r="108" ht="24" customHeight="1">
      <x:c r="A108" s="33" t="str">
        <x:v>ESCA_HSE_02_Core_Operations_Sample_Data.xlsx</x:v>
      </x:c>
      <x:c r="B108" s="33" t="str">
        <x:v>Findings</x:v>
      </x:c>
      <x:c r="C108" s="33" t="str">
        <x:v>severity</x:v>
      </x:c>
      <x:c r="D108" s="33" t="str">
        <x:v>enum</x:v>
      </x:c>
      <x:c r="E108" s="34" t="b">
        <x:v>1</x:v>
      </x:c>
      <x:c r="F108" s="33" t="str"/>
      <x:c r="G108" s="50" t="str">
        <x:v>Finding severity</x:v>
      </x:c>
      <x:c r="H108" s="33" t="str">
        <x:v>MAJOR</x:v>
      </x:c>
      <x:c r="I108" s="50" t="str">
        <x:v>MINOR | MODERATE | MAJOR | CRITICAL</x:v>
      </x:c>
      <x:c r="J108" s="33" t="str">
        <x:v>INTERNAL_SAMPLE</x:v>
      </x:c>
      <x:c r="K108" s="33" t="str">
        <x:v>Member 2</x:v>
      </x:c>
    </x:row>
    <x:row r="109" ht="24" customHeight="1">
      <x:c r="A109" s="33" t="str">
        <x:v>ESCA_HSE_02_Core_Operations_Sample_Data.xlsx</x:v>
      </x:c>
      <x:c r="B109" s="33" t="str">
        <x:v>Findings</x:v>
      </x:c>
      <x:c r="C109" s="33" t="str">
        <x:v>responsible_id</x:v>
      </x:c>
      <x:c r="D109" s="33" t="str">
        <x:v>id</x:v>
      </x:c>
      <x:c r="E109" s="34" t="b">
        <x:v>1</x:v>
      </x:c>
      <x:c r="F109" s="33" t="str">
        <x:v>FK -&gt; Employees.employee_id</x:v>
      </x:c>
      <x:c r="G109" s="50" t="str">
        <x:v>Responsible employee</x:v>
      </x:c>
      <x:c r="H109" s="33" t="str">
        <x:v>EMP-015</x:v>
      </x:c>
      <x:c r="I109" s="50" t="str"/>
      <x:c r="J109" s="33" t="str">
        <x:v>INTERNAL_SAMPLE</x:v>
      </x:c>
      <x:c r="K109" s="33" t="str">
        <x:v>Member 2</x:v>
      </x:c>
    </x:row>
    <x:row r="110" ht="24" customHeight="1">
      <x:c r="A110" s="33" t="str">
        <x:v>ESCA_HSE_02_Core_Operations_Sample_Data.xlsx</x:v>
      </x:c>
      <x:c r="B110" s="33" t="str">
        <x:v>Findings</x:v>
      </x:c>
      <x:c r="C110" s="33" t="str">
        <x:v>due_date</x:v>
      </x:c>
      <x:c r="D110" s="33" t="str">
        <x:v>date</x:v>
      </x:c>
      <x:c r="E110" s="34" t="b">
        <x:v>1</x:v>
      </x:c>
      <x:c r="F110" s="33" t="str"/>
      <x:c r="G110" s="50" t="str">
        <x:v>Correction due date</x:v>
      </x:c>
      <x:c r="H110" s="33" t="n">
        <x:v>46244</x:v>
      </x:c>
      <x:c r="I110" s="50" t="str"/>
      <x:c r="J110" s="33" t="str">
        <x:v>INTERNAL_SAMPLE</x:v>
      </x:c>
      <x:c r="K110" s="33" t="str">
        <x:v>Member 2</x:v>
      </x:c>
    </x:row>
    <x:row r="111" ht="24" customHeight="1">
      <x:c r="A111" s="33" t="str">
        <x:v>ESCA_HSE_02_Core_Operations_Sample_Data.xlsx</x:v>
      </x:c>
      <x:c r="B111" s="33" t="str">
        <x:v>Findings</x:v>
      </x:c>
      <x:c r="C111" s="33" t="str">
        <x:v>status</x:v>
      </x:c>
      <x:c r="D111" s="33" t="str">
        <x:v>enum</x:v>
      </x:c>
      <x:c r="E111" s="34" t="b">
        <x:v>1</x:v>
      </x:c>
      <x:c r="F111" s="33" t="str"/>
      <x:c r="G111" s="50" t="str">
        <x:v>Finding status</x:v>
      </x:c>
      <x:c r="H111" s="33" t="str">
        <x:v>OPEN</x:v>
      </x:c>
      <x:c r="I111" s="50" t="str">
        <x:v>OPEN | IN_PROGRESS | CLOSED | CANCELLED</x:v>
      </x:c>
      <x:c r="J111" s="33" t="str">
        <x:v>INTERNAL_SAMPLE</x:v>
      </x:c>
      <x:c r="K111" s="33" t="str">
        <x:v>Member 2</x:v>
      </x:c>
    </x:row>
    <x:row r="112" ht="24" customHeight="1">
      <x:c r="A112" s="33" t="str">
        <x:v>ESCA_HSE_02_Core_Operations_Sample_Data.xlsx</x:v>
      </x:c>
      <x:c r="B112" s="33" t="str">
        <x:v>Findings</x:v>
      </x:c>
      <x:c r="C112" s="33" t="str">
        <x:v>closed_at</x:v>
      </x:c>
      <x:c r="D112" s="33" t="str">
        <x:v>date</x:v>
      </x:c>
      <x:c r="E112" s="34" t="b">
        <x:v>0</x:v>
      </x:c>
      <x:c r="F112" s="33" t="str"/>
      <x:c r="G112" s="50" t="str">
        <x:v>Close date</x:v>
      </x:c>
      <x:c r="H112" s="33" t="n">
        <x:v>46247</x:v>
      </x:c>
      <x:c r="I112" s="50" t="str"/>
      <x:c r="J112" s="33" t="str">
        <x:v>INTERNAL_SAMPLE</x:v>
      </x:c>
      <x:c r="K112" s="33" t="str">
        <x:v>Member 2</x:v>
      </x:c>
    </x:row>
    <x:row r="113" ht="24" customHeight="1">
      <x:c r="A113" s="33" t="str">
        <x:v>ESCA_HSE_02_Core_Operations_Sample_Data.xlsx</x:v>
      </x:c>
      <x:c r="B113" s="33" t="str">
        <x:v>Findings</x:v>
      </x:c>
      <x:c r="C113" s="33" t="str">
        <x:v>capa_required</x:v>
      </x:c>
      <x:c r="D113" s="33" t="str">
        <x:v>boolean</x:v>
      </x:c>
      <x:c r="E113" s="34" t="b">
        <x:v>1</x:v>
      </x:c>
      <x:c r="F113" s="33" t="str"/>
      <x:c r="G113" s="50" t="str">
        <x:v>Whether CAPA is required</x:v>
      </x:c>
      <x:c r="H113" s="33" t="str">
        <x:v>true</x:v>
      </x:c>
      <x:c r="I113" s="50" t="str"/>
      <x:c r="J113" s="33" t="str">
        <x:v>INTERNAL_SAMPLE</x:v>
      </x:c>
      <x:c r="K113" s="33" t="str">
        <x:v>Member 2</x:v>
      </x:c>
    </x:row>
    <x:row r="114" ht="24" customHeight="1">
      <x:c r="A114" s="33" t="str">
        <x:v>ESCA_HSE_02_Core_Operations_Sample_Data.xlsx</x:v>
      </x:c>
      <x:c r="B114" s="33" t="str">
        <x:v>Findings</x:v>
      </x:c>
      <x:c r="C114" s="33" t="str">
        <x:v>capa_id</x:v>
      </x:c>
      <x:c r="D114" s="33" t="str">
        <x:v>id</x:v>
      </x:c>
      <x:c r="E114" s="34" t="b">
        <x:v>0</x:v>
      </x:c>
      <x:c r="F114" s="33" t="str">
        <x:v>FK -&gt; CAPA.capa_id</x:v>
      </x:c>
      <x:c r="G114" s="50" t="str">
        <x:v>Linked CAPA</x:v>
      </x:c>
      <x:c r="H114" s="33" t="str">
        <x:v>CAPA-001</x:v>
      </x:c>
      <x:c r="I114" s="50" t="str"/>
      <x:c r="J114" s="33" t="str">
        <x:v>INTERNAL_SAMPLE</x:v>
      </x:c>
      <x:c r="K114" s="33" t="str">
        <x:v>Member 2</x:v>
      </x:c>
    </x:row>
    <x:row r="115" ht="24" customHeight="1">
      <x:c r="A115" s="33" t="str">
        <x:v>ESCA_HSE_02_Core_Operations_Sample_Data.xlsx</x:v>
      </x:c>
      <x:c r="B115" s="33" t="str">
        <x:v>CAPA</x:v>
      </x:c>
      <x:c r="C115" s="33" t="str">
        <x:v>capa_id</x:v>
      </x:c>
      <x:c r="D115" s="33" t="str">
        <x:v>id</x:v>
      </x:c>
      <x:c r="E115" s="34" t="b">
        <x:v>1</x:v>
      </x:c>
      <x:c r="F115" s="33" t="str">
        <x:v>PK</x:v>
      </x:c>
      <x:c r="G115" s="50" t="str">
        <x:v>Unique CAPA identifier</x:v>
      </x:c>
      <x:c r="H115" s="33" t="str">
        <x:v>CAPA-001</x:v>
      </x:c>
      <x:c r="I115" s="50" t="str"/>
      <x:c r="J115" s="33" t="str">
        <x:v>INTERNAL_SAMPLE</x:v>
      </x:c>
      <x:c r="K115" s="33" t="str">
        <x:v>Member 1 / Member 2</x:v>
      </x:c>
    </x:row>
    <x:row r="116" ht="24" customHeight="1">
      <x:c r="A116" s="33" t="str">
        <x:v>ESCA_HSE_02_Core_Operations_Sample_Data.xlsx</x:v>
      </x:c>
      <x:c r="B116" s="33" t="str">
        <x:v>CAPA</x:v>
      </x:c>
      <x:c r="C116" s="33" t="str">
        <x:v>incident_id</x:v>
      </x:c>
      <x:c r="D116" s="33" t="str">
        <x:v>id</x:v>
      </x:c>
      <x:c r="E116" s="34" t="b">
        <x:v>0</x:v>
      </x:c>
      <x:c r="F116" s="33" t="str">
        <x:v>FK -&gt; Incidents.incident_id</x:v>
      </x:c>
      <x:c r="G116" s="50" t="str">
        <x:v>Source incident</x:v>
      </x:c>
      <x:c r="H116" s="33" t="str">
        <x:v>INC-2026-0089</x:v>
      </x:c>
      <x:c r="I116" s="50" t="str"/>
      <x:c r="J116" s="33" t="str">
        <x:v>INTERNAL_SAMPLE</x:v>
      </x:c>
      <x:c r="K116" s="33" t="str">
        <x:v>Member 1 / Member 2</x:v>
      </x:c>
    </x:row>
    <x:row r="117" ht="24" customHeight="1">
      <x:c r="A117" s="33" t="str">
        <x:v>ESCA_HSE_02_Core_Operations_Sample_Data.xlsx</x:v>
      </x:c>
      <x:c r="B117" s="33" t="str">
        <x:v>CAPA</x:v>
      </x:c>
      <x:c r="C117" s="33" t="str">
        <x:v>finding_id</x:v>
      </x:c>
      <x:c r="D117" s="33" t="str">
        <x:v>id</x:v>
      </x:c>
      <x:c r="E117" s="34" t="b">
        <x:v>0</x:v>
      </x:c>
      <x:c r="F117" s="33" t="str">
        <x:v>FK -&gt; Findings.finding_id</x:v>
      </x:c>
      <x:c r="G117" s="50" t="str">
        <x:v>Source finding</x:v>
      </x:c>
      <x:c r="H117" s="33" t="str">
        <x:v>FND-001</x:v>
      </x:c>
      <x:c r="I117" s="50" t="str"/>
      <x:c r="J117" s="33" t="str">
        <x:v>INTERNAL_SAMPLE</x:v>
      </x:c>
      <x:c r="K117" s="33" t="str">
        <x:v>Member 1 / Member 2</x:v>
      </x:c>
    </x:row>
    <x:row r="118" ht="24" customHeight="1">
      <x:c r="A118" s="33" t="str">
        <x:v>ESCA_HSE_02_Core_Operations_Sample_Data.xlsx</x:v>
      </x:c>
      <x:c r="B118" s="33" t="str">
        <x:v>CAPA</x:v>
      </x:c>
      <x:c r="C118" s="33" t="str">
        <x:v>title</x:v>
      </x:c>
      <x:c r="D118" s="33" t="str">
        <x:v>long_text</x:v>
      </x:c>
      <x:c r="E118" s="34" t="b">
        <x:v>1</x:v>
      </x:c>
      <x:c r="F118" s="33" t="str"/>
      <x:c r="G118" s="50" t="str">
        <x:v>Corrective/preventive action</x:v>
      </x:c>
      <x:c r="H118" s="33" t="str">
        <x:v>Install compliant guard on cutter 3</x:v>
      </x:c>
      <x:c r="I118" s="50" t="str"/>
      <x:c r="J118" s="33" t="str">
        <x:v>INTERNAL_SAMPLE</x:v>
      </x:c>
      <x:c r="K118" s="33" t="str">
        <x:v>Member 1 / Member 2</x:v>
      </x:c>
    </x:row>
    <x:row r="119" ht="24" customHeight="1">
      <x:c r="A119" s="33" t="str">
        <x:v>ESCA_HSE_02_Core_Operations_Sample_Data.xlsx</x:v>
      </x:c>
      <x:c r="B119" s="33" t="str">
        <x:v>CAPA</x:v>
      </x:c>
      <x:c r="C119" s="33" t="str">
        <x:v>action_type</x:v>
      </x:c>
      <x:c r="D119" s="33" t="str">
        <x:v>enum</x:v>
      </x:c>
      <x:c r="E119" s="34" t="b">
        <x:v>1</x:v>
      </x:c>
      <x:c r="F119" s="33" t="str"/>
      <x:c r="G119" s="50" t="str">
        <x:v>CAPA type</x:v>
      </x:c>
      <x:c r="H119" s="33" t="str">
        <x:v>CORRECTIVE</x:v>
      </x:c>
      <x:c r="I119" s="50" t="str">
        <x:v>CORRECTIVE | PREVENTIVE</x:v>
      </x:c>
      <x:c r="J119" s="33" t="str">
        <x:v>INTERNAL_SAMPLE</x:v>
      </x:c>
      <x:c r="K119" s="33" t="str">
        <x:v>Member 1 / Member 2</x:v>
      </x:c>
    </x:row>
    <x:row r="120" ht="24" customHeight="1">
      <x:c r="A120" s="33" t="str">
        <x:v>ESCA_HSE_02_Core_Operations_Sample_Data.xlsx</x:v>
      </x:c>
      <x:c r="B120" s="33" t="str">
        <x:v>CAPA</x:v>
      </x:c>
      <x:c r="C120" s="33" t="str">
        <x:v>priority</x:v>
      </x:c>
      <x:c r="D120" s="33" t="str">
        <x:v>enum</x:v>
      </x:c>
      <x:c r="E120" s="34" t="b">
        <x:v>1</x:v>
      </x:c>
      <x:c r="F120" s="33" t="str"/>
      <x:c r="G120" s="50" t="str">
        <x:v>Priority</x:v>
      </x:c>
      <x:c r="H120" s="33" t="str">
        <x:v>CRITICAL</x:v>
      </x:c>
      <x:c r="I120" s="50" t="str">
        <x:v>LOW | MEDIUM | HIGH | CRITICAL</x:v>
      </x:c>
      <x:c r="J120" s="33" t="str">
        <x:v>INTERNAL_SAMPLE</x:v>
      </x:c>
      <x:c r="K120" s="33" t="str">
        <x:v>Member 1 / Member 2</x:v>
      </x:c>
    </x:row>
    <x:row r="121" ht="24" customHeight="1">
      <x:c r="A121" s="33" t="str">
        <x:v>ESCA_HSE_02_Core_Operations_Sample_Data.xlsx</x:v>
      </x:c>
      <x:c r="B121" s="33" t="str">
        <x:v>CAPA</x:v>
      </x:c>
      <x:c r="C121" s="33" t="str">
        <x:v>assigned_to</x:v>
      </x:c>
      <x:c r="D121" s="33" t="str">
        <x:v>id</x:v>
      </x:c>
      <x:c r="E121" s="34" t="b">
        <x:v>0</x:v>
      </x:c>
      <x:c r="F121" s="33" t="str">
        <x:v>FK -&gt; Employees.employee_id</x:v>
      </x:c>
      <x:c r="G121" s="50" t="str">
        <x:v>Action owner</x:v>
      </x:c>
      <x:c r="H121" s="33" t="str">
        <x:v>EMP-015</x:v>
      </x:c>
      <x:c r="I121" s="50" t="str"/>
      <x:c r="J121" s="33" t="str">
        <x:v>INTERNAL_SAMPLE</x:v>
      </x:c>
      <x:c r="K121" s="33" t="str">
        <x:v>Member 1 / Member 2</x:v>
      </x:c>
    </x:row>
    <x:row r="122" ht="24" customHeight="1">
      <x:c r="A122" s="33" t="str">
        <x:v>ESCA_HSE_02_Core_Operations_Sample_Data.xlsx</x:v>
      </x:c>
      <x:c r="B122" s="33" t="str">
        <x:v>CAPA</x:v>
      </x:c>
      <x:c r="C122" s="33" t="str">
        <x:v>due_date</x:v>
      </x:c>
      <x:c r="D122" s="33" t="str">
        <x:v>date</x:v>
      </x:c>
      <x:c r="E122" s="34" t="b">
        <x:v>1</x:v>
      </x:c>
      <x:c r="F122" s="33" t="str"/>
      <x:c r="G122" s="50" t="str">
        <x:v>Due date</x:v>
      </x:c>
      <x:c r="H122" s="33" t="n">
        <x:v>46244</x:v>
      </x:c>
      <x:c r="I122" s="50" t="str"/>
      <x:c r="J122" s="33" t="str">
        <x:v>INTERNAL_SAMPLE</x:v>
      </x:c>
      <x:c r="K122" s="33" t="str">
        <x:v>Member 1 / Member 2</x:v>
      </x:c>
    </x:row>
    <x:row r="123" ht="24" customHeight="1">
      <x:c r="A123" s="33" t="str">
        <x:v>ESCA_HSE_02_Core_Operations_Sample_Data.xlsx</x:v>
      </x:c>
      <x:c r="B123" s="33" t="str">
        <x:v>CAPA</x:v>
      </x:c>
      <x:c r="C123" s="33" t="str">
        <x:v>status</x:v>
      </x:c>
      <x:c r="D123" s="33" t="str">
        <x:v>enum</x:v>
      </x:c>
      <x:c r="E123" s="34" t="b">
        <x:v>1</x:v>
      </x:c>
      <x:c r="F123" s="33" t="str"/>
      <x:c r="G123" s="50" t="str">
        <x:v>CAPA state</x:v>
      </x:c>
      <x:c r="H123" s="33" t="str">
        <x:v>IN_PROGRESS</x:v>
      </x:c>
      <x:c r="I123" s="50" t="str">
        <x:v>DRAFT | OPEN | IN_PROGRESS | COMPLETED | CANCELLED</x:v>
      </x:c>
      <x:c r="J123" s="33" t="str">
        <x:v>INTERNAL_SAMPLE</x:v>
      </x:c>
      <x:c r="K123" s="33" t="str">
        <x:v>Member 1 / Member 2</x:v>
      </x:c>
    </x:row>
    <x:row r="124" ht="24" customHeight="1">
      <x:c r="A124" s="33" t="str">
        <x:v>ESCA_HSE_02_Core_Operations_Sample_Data.xlsx</x:v>
      </x:c>
      <x:c r="B124" s="33" t="str">
        <x:v>CAPA</x:v>
      </x:c>
      <x:c r="C124" s="33" t="str">
        <x:v>completion_date</x:v>
      </x:c>
      <x:c r="D124" s="33" t="str">
        <x:v>date</x:v>
      </x:c>
      <x:c r="E124" s="34" t="b">
        <x:v>0</x:v>
      </x:c>
      <x:c r="F124" s="33" t="str"/>
      <x:c r="G124" s="50" t="str">
        <x:v>Completion date</x:v>
      </x:c>
      <x:c r="H124" s="33" t="n">
        <x:v>46242</x:v>
      </x:c>
      <x:c r="I124" s="50" t="str"/>
      <x:c r="J124" s="33" t="str">
        <x:v>INTERNAL_SAMPLE</x:v>
      </x:c>
      <x:c r="K124" s="33" t="str">
        <x:v>Member 1 / Member 2</x:v>
      </x:c>
    </x:row>
    <x:row r="125" ht="24" customHeight="1">
      <x:c r="A125" s="33" t="str">
        <x:v>ESCA_HSE_02_Core_Operations_Sample_Data.xlsx</x:v>
      </x:c>
      <x:c r="B125" s="33" t="str">
        <x:v>CAPA</x:v>
      </x:c>
      <x:c r="C125" s="33" t="str">
        <x:v>verification_status</x:v>
      </x:c>
      <x:c r="D125" s="33" t="str">
        <x:v>enum</x:v>
      </x:c>
      <x:c r="E125" s="34" t="b">
        <x:v>1</x:v>
      </x:c>
      <x:c r="F125" s="33" t="str"/>
      <x:c r="G125" s="50" t="str">
        <x:v>Verification state</x:v>
      </x:c>
      <x:c r="H125" s="33" t="str">
        <x:v>PENDING</x:v>
      </x:c>
      <x:c r="I125" s="50" t="str">
        <x:v>NOT_REQUIRED | PENDING | PENDING_VERIFICATION | VERIFIED | REJECTED</x:v>
      </x:c>
      <x:c r="J125" s="33" t="str">
        <x:v>INTERNAL_SAMPLE</x:v>
      </x:c>
      <x:c r="K125" s="33" t="str">
        <x:v>Member 1 / Member 2</x:v>
      </x:c>
    </x:row>
    <x:row r="126" ht="24" customHeight="1">
      <x:c r="A126" s="33" t="str">
        <x:v>ESCA_HSE_02_Core_Operations_Sample_Data.xlsx</x:v>
      </x:c>
      <x:c r="B126" s="33" t="str">
        <x:v>CAPA</x:v>
      </x:c>
      <x:c r="C126" s="33" t="str">
        <x:v>verified_by</x:v>
      </x:c>
      <x:c r="D126" s="33" t="str">
        <x:v>id</x:v>
      </x:c>
      <x:c r="E126" s="34" t="b">
        <x:v>0</x:v>
      </x:c>
      <x:c r="F126" s="33" t="str">
        <x:v>FK -&gt; Employees.employee_id</x:v>
      </x:c>
      <x:c r="G126" s="50" t="str">
        <x:v>Verifier</x:v>
      </x:c>
      <x:c r="H126" s="33" t="str">
        <x:v>EMP-012</x:v>
      </x:c>
      <x:c r="I126" s="50" t="str"/>
      <x:c r="J126" s="33" t="str">
        <x:v>INTERNAL_SAMPLE</x:v>
      </x:c>
      <x:c r="K126" s="33" t="str">
        <x:v>Member 1 / Member 2</x:v>
      </x:c>
    </x:row>
    <x:row r="127" ht="24" customHeight="1">
      <x:c r="A127" s="33" t="str">
        <x:v>ESCA_HSE_02_Core_Operations_Sample_Data.xlsx</x:v>
      </x:c>
      <x:c r="B127" s="33" t="str">
        <x:v>CAPA</x:v>
      </x:c>
      <x:c r="C127" s="33" t="str">
        <x:v>last_reminder_at</x:v>
      </x:c>
      <x:c r="D127" s="33" t="str">
        <x:v>datetime</x:v>
      </x:c>
      <x:c r="E127" s="34" t="b">
        <x:v>0</x:v>
      </x:c>
      <x:c r="F127" s="33" t="str"/>
      <x:c r="G127" s="50" t="str">
        <x:v>Last reminder timestamp</x:v>
      </x:c>
      <x:c r="H127" s="33" t="n">
        <x:v>46246.25</x:v>
      </x:c>
      <x:c r="I127" s="50" t="str"/>
      <x:c r="J127" s="33" t="str">
        <x:v>INTERNAL_SAMPLE</x:v>
      </x:c>
      <x:c r="K127" s="33" t="str">
        <x:v>Member 1 / Member 2</x:v>
      </x:c>
    </x:row>
    <x:row r="128" ht="24" customHeight="1">
      <x:c r="A128" s="33" t="str">
        <x:v>ESCA_HSE_02_Core_Operations_Sample_Data.xlsx</x:v>
      </x:c>
      <x:c r="B128" s="33" t="str">
        <x:v>CAPA</x:v>
      </x:c>
      <x:c r="C128" s="33" t="str">
        <x:v>days_overdue</x:v>
      </x:c>
      <x:c r="D128" s="33" t="str">
        <x:v>formula</x:v>
      </x:c>
      <x:c r="E128" s="34" t="b">
        <x:v>1</x:v>
      </x:c>
      <x:c r="F128" s="33" t="str"/>
      <x:c r="G128" s="50" t="str">
        <x:v>Derived overdue days</x:v>
      </x:c>
      <x:c r="H128" s="33" t="str">
        <x:v>Formula-derived</x:v>
      </x:c>
      <x:c r="I128" s="50" t="str"/>
      <x:c r="J128" s="33" t="str">
        <x:v>INTERNAL_SAMPLE</x:v>
      </x:c>
      <x:c r="K128" s="33" t="str">
        <x:v>Member 1 / Member 2</x:v>
      </x:c>
    </x:row>
    <x:row r="129" ht="24" customHeight="1">
      <x:c r="A129" s="33" t="str">
        <x:v>ESCA_HSE_02_Core_Operations_Sample_Data.xlsx</x:v>
      </x:c>
      <x:c r="B129" s="33" t="str">
        <x:v>CAPA</x:v>
      </x:c>
      <x:c r="C129" s="33" t="str">
        <x:v>automation_flag</x:v>
      </x:c>
      <x:c r="D129" s="33" t="str">
        <x:v>formula</x:v>
      </x:c>
      <x:c r="E129" s="34" t="b">
        <x:v>1</x:v>
      </x:c>
      <x:c r="F129" s="33" t="str"/>
      <x:c r="G129" s="50" t="str">
        <x:v>Derived automation decision</x:v>
      </x:c>
      <x:c r="H129" s="33" t="str">
        <x:v>Formula-derived</x:v>
      </x:c>
      <x:c r="I129" s="50" t="str"/>
      <x:c r="J129" s="33" t="str">
        <x:v>INTERNAL_SAMPLE</x:v>
      </x:c>
      <x:c r="K129" s="33" t="str">
        <x:v>Member 1 / Member 2</x:v>
      </x:c>
    </x:row>
    <x:row r="130" ht="24" customHeight="1">
      <x:c r="A130" s="33" t="str">
        <x:v>ESCA_HSE_02_Core_Operations_Sample_Data.xlsx</x:v>
      </x:c>
      <x:c r="B130" s="33" t="str">
        <x:v>Risk_Register</x:v>
      </x:c>
      <x:c r="C130" s="33" t="str">
        <x:v>risk_id</x:v>
      </x:c>
      <x:c r="D130" s="33" t="str">
        <x:v>id</x:v>
      </x:c>
      <x:c r="E130" s="34" t="b">
        <x:v>1</x:v>
      </x:c>
      <x:c r="F130" s="33" t="str">
        <x:v>PK</x:v>
      </x:c>
      <x:c r="G130" s="50" t="str">
        <x:v>Unique hazard/risk identifier</x:v>
      </x:c>
      <x:c r="H130" s="33" t="str">
        <x:v>HZ-001</x:v>
      </x:c>
      <x:c r="I130" s="50" t="str"/>
      <x:c r="J130" s="33" t="str">
        <x:v>INTERNAL_SAMPLE</x:v>
      </x:c>
      <x:c r="K130" s="33" t="str">
        <x:v>Member 1</x:v>
      </x:c>
    </x:row>
    <x:row r="131" ht="24" customHeight="1">
      <x:c r="A131" s="33" t="str">
        <x:v>ESCA_HSE_02_Core_Operations_Sample_Data.xlsx</x:v>
      </x:c>
      <x:c r="B131" s="33" t="str">
        <x:v>Risk_Register</x:v>
      </x:c>
      <x:c r="C131" s="33" t="str">
        <x:v>department_id</x:v>
      </x:c>
      <x:c r="D131" s="33" t="str">
        <x:v>id</x:v>
      </x:c>
      <x:c r="E131" s="34" t="b">
        <x:v>1</x:v>
      </x:c>
      <x:c r="F131" s="33" t="str">
        <x:v>FK -&gt; Departments.department_id</x:v>
      </x:c>
      <x:c r="G131" s="50" t="str">
        <x:v>Department</x:v>
      </x:c>
      <x:c r="H131" s="33" t="str">
        <x:v>DEP-UTIL</x:v>
      </x:c>
      <x:c r="I131" s="50" t="str"/>
      <x:c r="J131" s="33" t="str">
        <x:v>INTERNAL_SAMPLE</x:v>
      </x:c>
      <x:c r="K131" s="33" t="str">
        <x:v>Member 1</x:v>
      </x:c>
    </x:row>
    <x:row r="132" ht="24" customHeight="1">
      <x:c r="A132" s="33" t="str">
        <x:v>ESCA_HSE_02_Core_Operations_Sample_Data.xlsx</x:v>
      </x:c>
      <x:c r="B132" s="33" t="str">
        <x:v>Risk_Register</x:v>
      </x:c>
      <x:c r="C132" s="33" t="str">
        <x:v>zone_id</x:v>
      </x:c>
      <x:c r="D132" s="33" t="str">
        <x:v>id</x:v>
      </x:c>
      <x:c r="E132" s="34" t="b">
        <x:v>1</x:v>
      </x:c>
      <x:c r="F132" s="33" t="str">
        <x:v>FK -&gt; Zones.zone_id</x:v>
      </x:c>
      <x:c r="G132" s="50" t="str">
        <x:v>Zone</x:v>
      </x:c>
      <x:c r="H132" s="33" t="str">
        <x:v>ZN-U01</x:v>
      </x:c>
      <x:c r="I132" s="50" t="str"/>
      <x:c r="J132" s="33" t="str">
        <x:v>INTERNAL_SAMPLE</x:v>
      </x:c>
      <x:c r="K132" s="33" t="str">
        <x:v>Member 1</x:v>
      </x:c>
    </x:row>
    <x:row r="133" ht="24" customHeight="1">
      <x:c r="A133" s="33" t="str">
        <x:v>ESCA_HSE_02_Core_Operations_Sample_Data.xlsx</x:v>
      </x:c>
      <x:c r="B133" s="33" t="str">
        <x:v>Risk_Register</x:v>
      </x:c>
      <x:c r="C133" s="33" t="str">
        <x:v>hazard</x:v>
      </x:c>
      <x:c r="D133" s="33" t="str">
        <x:v>long_text</x:v>
      </x:c>
      <x:c r="E133" s="34" t="b">
        <x:v>1</x:v>
      </x:c>
      <x:c r="F133" s="33" t="str"/>
      <x:c r="G133" s="50" t="str">
        <x:v>Hazard description</x:v>
      </x:c>
      <x:c r="H133" s="33" t="str">
        <x:v>Electric shock - medium voltage</x:v>
      </x:c>
      <x:c r="I133" s="50" t="str"/>
      <x:c r="J133" s="33" t="str">
        <x:v>INTERNAL_SAMPLE</x:v>
      </x:c>
      <x:c r="K133" s="33" t="str">
        <x:v>Member 1</x:v>
      </x:c>
    </x:row>
    <x:row r="134" ht="24" customHeight="1">
      <x:c r="A134" s="33" t="str">
        <x:v>ESCA_HSE_02_Core_Operations_Sample_Data.xlsx</x:v>
      </x:c>
      <x:c r="B134" s="33" t="str">
        <x:v>Risk_Register</x:v>
      </x:c>
      <x:c r="C134" s="33" t="str">
        <x:v>activity</x:v>
      </x:c>
      <x:c r="D134" s="33" t="str">
        <x:v>text</x:v>
      </x:c>
      <x:c r="E134" s="34" t="b">
        <x:v>1</x:v>
      </x:c>
      <x:c r="F134" s="33" t="str"/>
      <x:c r="G134" s="50" t="str">
        <x:v>Associated activity</x:v>
      </x:c>
      <x:c r="H134" s="33" t="str">
        <x:v>MV panel maintenance</x:v>
      </x:c>
      <x:c r="I134" s="50" t="str"/>
      <x:c r="J134" s="33" t="str">
        <x:v>INTERNAL_SAMPLE</x:v>
      </x:c>
      <x:c r="K134" s="33" t="str">
        <x:v>Member 1</x:v>
      </x:c>
    </x:row>
    <x:row r="135" ht="24" customHeight="1">
      <x:c r="A135" s="33" t="str">
        <x:v>ESCA_HSE_02_Core_Operations_Sample_Data.xlsx</x:v>
      </x:c>
      <x:c r="B135" s="33" t="str">
        <x:v>Risk_Register</x:v>
      </x:c>
      <x:c r="C135" s="33" t="str">
        <x:v>likelihood</x:v>
      </x:c>
      <x:c r="D135" s="33" t="str">
        <x:v>integer</x:v>
      </x:c>
      <x:c r="E135" s="34" t="b">
        <x:v>1</x:v>
      </x:c>
      <x:c r="F135" s="33" t="str"/>
      <x:c r="G135" s="50" t="str">
        <x:v>Inherent likelihood 1-5</x:v>
      </x:c>
      <x:c r="H135" s="33" t="str">
        <x:v>3</x:v>
      </x:c>
      <x:c r="I135" s="50" t="str"/>
      <x:c r="J135" s="33" t="str">
        <x:v>INTERNAL_SAMPLE</x:v>
      </x:c>
      <x:c r="K135" s="33" t="str">
        <x:v>Member 1</x:v>
      </x:c>
    </x:row>
    <x:row r="136" ht="24" customHeight="1">
      <x:c r="A136" s="33" t="str">
        <x:v>ESCA_HSE_02_Core_Operations_Sample_Data.xlsx</x:v>
      </x:c>
      <x:c r="B136" s="33" t="str">
        <x:v>Risk_Register</x:v>
      </x:c>
      <x:c r="C136" s="33" t="str">
        <x:v>severity</x:v>
      </x:c>
      <x:c r="D136" s="33" t="str">
        <x:v>integer</x:v>
      </x:c>
      <x:c r="E136" s="34" t="b">
        <x:v>1</x:v>
      </x:c>
      <x:c r="F136" s="33" t="str"/>
      <x:c r="G136" s="50" t="str">
        <x:v>Inherent severity 1-5</x:v>
      </x:c>
      <x:c r="H136" s="33" t="str">
        <x:v>5</x:v>
      </x:c>
      <x:c r="I136" s="50" t="str"/>
      <x:c r="J136" s="33" t="str">
        <x:v>INTERNAL_SAMPLE</x:v>
      </x:c>
      <x:c r="K136" s="33" t="str">
        <x:v>Member 1</x:v>
      </x:c>
    </x:row>
    <x:row r="137" ht="24" customHeight="1">
      <x:c r="A137" s="33" t="str">
        <x:v>ESCA_HSE_02_Core_Operations_Sample_Data.xlsx</x:v>
      </x:c>
      <x:c r="B137" s="33" t="str">
        <x:v>Risk_Register</x:v>
      </x:c>
      <x:c r="C137" s="33" t="str">
        <x:v>inherent_score</x:v>
      </x:c>
      <x:c r="D137" s="33" t="str">
        <x:v>formula</x:v>
      </x:c>
      <x:c r="E137" s="34" t="b">
        <x:v>1</x:v>
      </x:c>
      <x:c r="F137" s="33" t="str"/>
      <x:c r="G137" s="50" t="str">
        <x:v>Likelihood x severity</x:v>
      </x:c>
      <x:c r="H137" s="33" t="str">
        <x:v>Formula-derived</x:v>
      </x:c>
      <x:c r="I137" s="50" t="str"/>
      <x:c r="J137" s="33" t="str">
        <x:v>INTERNAL_SAMPLE</x:v>
      </x:c>
      <x:c r="K137" s="33" t="str">
        <x:v>Member 1</x:v>
      </x:c>
    </x:row>
    <x:row r="138" ht="24" customHeight="1">
      <x:c r="A138" s="33" t="str">
        <x:v>ESCA_HSE_02_Core_Operations_Sample_Data.xlsx</x:v>
      </x:c>
      <x:c r="B138" s="33" t="str">
        <x:v>Risk_Register</x:v>
      </x:c>
      <x:c r="C138" s="33" t="str">
        <x:v>risk_level</x:v>
      </x:c>
      <x:c r="D138" s="33" t="str">
        <x:v>formula</x:v>
      </x:c>
      <x:c r="E138" s="34" t="b">
        <x:v>1</x:v>
      </x:c>
      <x:c r="F138" s="33" t="str"/>
      <x:c r="G138" s="50" t="str">
        <x:v>Derived inherent risk level</x:v>
      </x:c>
      <x:c r="H138" s="33" t="str">
        <x:v>Formula-derived</x:v>
      </x:c>
      <x:c r="I138" s="50" t="str"/>
      <x:c r="J138" s="33" t="str">
        <x:v>INTERNAL_SAMPLE</x:v>
      </x:c>
      <x:c r="K138" s="33" t="str">
        <x:v>Member 1</x:v>
      </x:c>
    </x:row>
    <x:row r="139" ht="24" customHeight="1">
      <x:c r="A139" s="33" t="str">
        <x:v>ESCA_HSE_02_Core_Operations_Sample_Data.xlsx</x:v>
      </x:c>
      <x:c r="B139" s="33" t="str">
        <x:v>Risk_Register</x:v>
      </x:c>
      <x:c r="C139" s="33" t="str">
        <x:v>controls</x:v>
      </x:c>
      <x:c r="D139" s="33" t="str">
        <x:v>long_text</x:v>
      </x:c>
      <x:c r="E139" s="34" t="b">
        <x:v>1</x:v>
      </x:c>
      <x:c r="F139" s="33" t="str"/>
      <x:c r="G139" s="50" t="str">
        <x:v>Existing controls</x:v>
      </x:c>
      <x:c r="H139" s="33" t="str">
        <x:v>LOTO; voltage test; 1000V gloves; permit</x:v>
      </x:c>
      <x:c r="I139" s="50" t="str"/>
      <x:c r="J139" s="33" t="str">
        <x:v>INTERNAL_SAMPLE</x:v>
      </x:c>
      <x:c r="K139" s="33" t="str">
        <x:v>Member 1</x:v>
      </x:c>
    </x:row>
    <x:row r="140" ht="24" customHeight="1">
      <x:c r="A140" s="33" t="str">
        <x:v>ESCA_HSE_02_Core_Operations_Sample_Data.xlsx</x:v>
      </x:c>
      <x:c r="B140" s="33" t="str">
        <x:v>Risk_Register</x:v>
      </x:c>
      <x:c r="C140" s="33" t="str">
        <x:v>residual_likelihood</x:v>
      </x:c>
      <x:c r="D140" s="33" t="str">
        <x:v>integer</x:v>
      </x:c>
      <x:c r="E140" s="34" t="b">
        <x:v>1</x:v>
      </x:c>
      <x:c r="F140" s="33" t="str"/>
      <x:c r="G140" s="50" t="str">
        <x:v>Residual likelihood 1-5</x:v>
      </x:c>
      <x:c r="H140" s="33" t="str">
        <x:v>1</x:v>
      </x:c>
      <x:c r="I140" s="50" t="str"/>
      <x:c r="J140" s="33" t="str">
        <x:v>INTERNAL_SAMPLE</x:v>
      </x:c>
      <x:c r="K140" s="33" t="str">
        <x:v>Member 1</x:v>
      </x:c>
    </x:row>
    <x:row r="141" ht="24" customHeight="1">
      <x:c r="A141" s="33" t="str">
        <x:v>ESCA_HSE_02_Core_Operations_Sample_Data.xlsx</x:v>
      </x:c>
      <x:c r="B141" s="33" t="str">
        <x:v>Risk_Register</x:v>
      </x:c>
      <x:c r="C141" s="33" t="str">
        <x:v>residual_severity</x:v>
      </x:c>
      <x:c r="D141" s="33" t="str">
        <x:v>integer</x:v>
      </x:c>
      <x:c r="E141" s="34" t="b">
        <x:v>1</x:v>
      </x:c>
      <x:c r="F141" s="33" t="str"/>
      <x:c r="G141" s="50" t="str">
        <x:v>Residual severity 1-5</x:v>
      </x:c>
      <x:c r="H141" s="33" t="str">
        <x:v>5</x:v>
      </x:c>
      <x:c r="I141" s="50" t="str"/>
      <x:c r="J141" s="33" t="str">
        <x:v>INTERNAL_SAMPLE</x:v>
      </x:c>
      <x:c r="K141" s="33" t="str">
        <x:v>Member 1</x:v>
      </x:c>
    </x:row>
    <x:row r="142" ht="24" customHeight="1">
      <x:c r="A142" s="33" t="str">
        <x:v>ESCA_HSE_02_Core_Operations_Sample_Data.xlsx</x:v>
      </x:c>
      <x:c r="B142" s="33" t="str">
        <x:v>Risk_Register</x:v>
      </x:c>
      <x:c r="C142" s="33" t="str">
        <x:v>residual_score</x:v>
      </x:c>
      <x:c r="D142" s="33" t="str">
        <x:v>formula</x:v>
      </x:c>
      <x:c r="E142" s="34" t="b">
        <x:v>1</x:v>
      </x:c>
      <x:c r="F142" s="33" t="str"/>
      <x:c r="G142" s="50" t="str">
        <x:v>Residual likelihood x severity</x:v>
      </x:c>
      <x:c r="H142" s="33" t="str">
        <x:v>Formula-derived</x:v>
      </x:c>
      <x:c r="I142" s="50" t="str"/>
      <x:c r="J142" s="33" t="str">
        <x:v>INTERNAL_SAMPLE</x:v>
      </x:c>
      <x:c r="K142" s="33" t="str">
        <x:v>Member 1</x:v>
      </x:c>
    </x:row>
    <x:row r="143" ht="24" customHeight="1">
      <x:c r="A143" s="33" t="str">
        <x:v>ESCA_HSE_02_Core_Operations_Sample_Data.xlsx</x:v>
      </x:c>
      <x:c r="B143" s="33" t="str">
        <x:v>Risk_Register</x:v>
      </x:c>
      <x:c r="C143" s="33" t="str">
        <x:v>owner_id</x:v>
      </x:c>
      <x:c r="D143" s="33" t="str">
        <x:v>id</x:v>
      </x:c>
      <x:c r="E143" s="34" t="b">
        <x:v>1</x:v>
      </x:c>
      <x:c r="F143" s="33" t="str">
        <x:v>FK -&gt; Employees.employee_id</x:v>
      </x:c>
      <x:c r="G143" s="50" t="str">
        <x:v>Risk owner</x:v>
      </x:c>
      <x:c r="H143" s="33" t="str">
        <x:v>EMP-006</x:v>
      </x:c>
      <x:c r="I143" s="50" t="str"/>
      <x:c r="J143" s="33" t="str">
        <x:v>INTERNAL_SAMPLE</x:v>
      </x:c>
      <x:c r="K143" s="33" t="str">
        <x:v>Member 1</x:v>
      </x:c>
    </x:row>
    <x:row r="144" ht="24" customHeight="1">
      <x:c r="A144" s="33" t="str">
        <x:v>ESCA_HSE_02_Core_Operations_Sample_Data.xlsx</x:v>
      </x:c>
      <x:c r="B144" s="33" t="str">
        <x:v>Risk_Register</x:v>
      </x:c>
      <x:c r="C144" s="33" t="str">
        <x:v>status</x:v>
      </x:c>
      <x:c r="D144" s="33" t="str">
        <x:v>enum</x:v>
      </x:c>
      <x:c r="E144" s="34" t="b">
        <x:v>1</x:v>
      </x:c>
      <x:c r="F144" s="33" t="str"/>
      <x:c r="G144" s="50" t="str">
        <x:v>Risk state</x:v>
      </x:c>
      <x:c r="H144" s="33" t="str">
        <x:v>ACTIVE</x:v>
      </x:c>
      <x:c r="I144" s="50" t="str">
        <x:v>ACTIVE | UNDER_REVIEW | CLOSED</x:v>
      </x:c>
      <x:c r="J144" s="33" t="str">
        <x:v>INTERNAL_SAMPLE</x:v>
      </x:c>
      <x:c r="K144" s="33" t="str">
        <x:v>Member 1</x:v>
      </x:c>
    </x:row>
    <x:row r="145" ht="24" customHeight="1">
      <x:c r="A145" s="33" t="str">
        <x:v>ESCA_HSE_02_Core_Operations_Sample_Data.xlsx</x:v>
      </x:c>
      <x:c r="B145" s="33" t="str">
        <x:v>Risk_Register</x:v>
      </x:c>
      <x:c r="C145" s="33" t="str">
        <x:v>last_reviewed_at</x:v>
      </x:c>
      <x:c r="D145" s="33" t="str">
        <x:v>date</x:v>
      </x:c>
      <x:c r="E145" s="34" t="b">
        <x:v>0</x:v>
      </x:c>
      <x:c r="F145" s="33" t="str"/>
      <x:c r="G145" s="50" t="str">
        <x:v>Last formal review</x:v>
      </x:c>
      <x:c r="H145" s="33" t="n">
        <x:v>46193</x:v>
      </x:c>
      <x:c r="I145" s="50" t="str"/>
      <x:c r="J145" s="33" t="str">
        <x:v>INTERNAL_SAMPLE</x:v>
      </x:c>
      <x:c r="K145" s="33" t="str">
        <x:v>Member 1</x:v>
      </x:c>
    </x:row>
    <x:row r="146" ht="24" customHeight="1">
      <x:c r="A146" s="33" t="str">
        <x:v>ESCA_HSE_02_Core_Operations_Sample_Data.xlsx</x:v>
      </x:c>
      <x:c r="B146" s="33" t="str">
        <x:v>Risk_Register</x:v>
      </x:c>
      <x:c r="C146" s="33" t="str">
        <x:v>next_review_date</x:v>
      </x:c>
      <x:c r="D146" s="33" t="str">
        <x:v>date</x:v>
      </x:c>
      <x:c r="E146" s="34" t="b">
        <x:v>0</x:v>
      </x:c>
      <x:c r="F146" s="33" t="str"/>
      <x:c r="G146" s="50" t="str">
        <x:v>Scheduled review</x:v>
      </x:c>
      <x:c r="H146" s="33" t="n">
        <x:v>46223</x:v>
      </x:c>
      <x:c r="I146" s="50" t="str"/>
      <x:c r="J146" s="33" t="str">
        <x:v>INTERNAL_SAMPLE</x:v>
      </x:c>
      <x:c r="K146" s="33" t="str">
        <x:v>Member 1</x:v>
      </x:c>
    </x:row>
    <x:row r="147" ht="24" customHeight="1">
      <x:c r="A147" s="33" t="str">
        <x:v>ESCA_HSE_02_Core_Operations_Sample_Data.xlsx</x:v>
      </x:c>
      <x:c r="B147" s="33" t="str">
        <x:v>Risk_Register</x:v>
      </x:c>
      <x:c r="C147" s="33" t="str">
        <x:v>review_flag</x:v>
      </x:c>
      <x:c r="D147" s="33" t="str">
        <x:v>formula</x:v>
      </x:c>
      <x:c r="E147" s="34" t="b">
        <x:v>1</x:v>
      </x:c>
      <x:c r="F147" s="33" t="str"/>
      <x:c r="G147" s="50" t="str">
        <x:v>Derived overdue review flag</x:v>
      </x:c>
      <x:c r="H147" s="33" t="str">
        <x:v>Formula-derived</x:v>
      </x:c>
      <x:c r="I147" s="50" t="str"/>
      <x:c r="J147" s="33" t="str">
        <x:v>INTERNAL_SAMPLE</x:v>
      </x:c>
      <x:c r="K147" s="33" t="str">
        <x:v>Member 1</x:v>
      </x:c>
    </x:row>
    <x:row r="148" ht="24" customHeight="1">
      <x:c r="A148" s="33" t="str">
        <x:v>ESCA_HSE_02_Core_Operations_Sample_Data.xlsx</x:v>
      </x:c>
      <x:c r="B148" s="33" t="str">
        <x:v>JSA</x:v>
      </x:c>
      <x:c r="C148" s="33" t="str">
        <x:v>jsa_id</x:v>
      </x:c>
      <x:c r="D148" s="33" t="str">
        <x:v>id</x:v>
      </x:c>
      <x:c r="E148" s="34" t="b">
        <x:v>1</x:v>
      </x:c>
      <x:c r="F148" s="33" t="str">
        <x:v>PK</x:v>
      </x:c>
      <x:c r="G148" s="50" t="str">
        <x:v>Unique JSA identifier</x:v>
      </x:c>
      <x:c r="H148" s="33" t="str">
        <x:v>JSA-018</x:v>
      </x:c>
      <x:c r="I148" s="50" t="str"/>
      <x:c r="J148" s="33" t="str">
        <x:v>INTERNAL_SAMPLE</x:v>
      </x:c>
      <x:c r="K148" s="33" t="str">
        <x:v>Member 1</x:v>
      </x:c>
    </x:row>
    <x:row r="149" ht="24" customHeight="1">
      <x:c r="A149" s="33" t="str">
        <x:v>ESCA_HSE_02_Core_Operations_Sample_Data.xlsx</x:v>
      </x:c>
      <x:c r="B149" s="33" t="str">
        <x:v>JSA</x:v>
      </x:c>
      <x:c r="C149" s="33" t="str">
        <x:v>task_name</x:v>
      </x:c>
      <x:c r="D149" s="33" t="str">
        <x:v>text</x:v>
      </x:c>
      <x:c r="E149" s="34" t="b">
        <x:v>1</x:v>
      </x:c>
      <x:c r="F149" s="33" t="str"/>
      <x:c r="G149" s="50" t="str">
        <x:v>Task name</x:v>
      </x:c>
      <x:c r="H149" s="33" t="str">
        <x:v>Replace MV circuit breaker</x:v>
      </x:c>
      <x:c r="I149" s="50" t="str"/>
      <x:c r="J149" s="33" t="str">
        <x:v>INTERNAL_SAMPLE</x:v>
      </x:c>
      <x:c r="K149" s="33" t="str">
        <x:v>Member 1</x:v>
      </x:c>
    </x:row>
    <x:row r="150" ht="24" customHeight="1">
      <x:c r="A150" s="33" t="str">
        <x:v>ESCA_HSE_02_Core_Operations_Sample_Data.xlsx</x:v>
      </x:c>
      <x:c r="B150" s="33" t="str">
        <x:v>JSA</x:v>
      </x:c>
      <x:c r="C150" s="33" t="str">
        <x:v>department_id</x:v>
      </x:c>
      <x:c r="D150" s="33" t="str">
        <x:v>id</x:v>
      </x:c>
      <x:c r="E150" s="34" t="b">
        <x:v>1</x:v>
      </x:c>
      <x:c r="F150" s="33" t="str">
        <x:v>FK -&gt; Departments.department_id</x:v>
      </x:c>
      <x:c r="G150" s="50" t="str">
        <x:v>Department</x:v>
      </x:c>
      <x:c r="H150" s="33" t="str">
        <x:v>DEP-UTIL</x:v>
      </x:c>
      <x:c r="I150" s="50" t="str"/>
      <x:c r="J150" s="33" t="str">
        <x:v>INTERNAL_SAMPLE</x:v>
      </x:c>
      <x:c r="K150" s="33" t="str">
        <x:v>Member 1</x:v>
      </x:c>
    </x:row>
    <x:row r="151" ht="24" customHeight="1">
      <x:c r="A151" s="33" t="str">
        <x:v>ESCA_HSE_02_Core_Operations_Sample_Data.xlsx</x:v>
      </x:c>
      <x:c r="B151" s="33" t="str">
        <x:v>JSA</x:v>
      </x:c>
      <x:c r="C151" s="33" t="str">
        <x:v>zone_id</x:v>
      </x:c>
      <x:c r="D151" s="33" t="str">
        <x:v>id</x:v>
      </x:c>
      <x:c r="E151" s="34" t="b">
        <x:v>1</x:v>
      </x:c>
      <x:c r="F151" s="33" t="str">
        <x:v>FK -&gt; Zones.zone_id</x:v>
      </x:c>
      <x:c r="G151" s="50" t="str">
        <x:v>Zone</x:v>
      </x:c>
      <x:c r="H151" s="33" t="str">
        <x:v>ZN-U01</x:v>
      </x:c>
      <x:c r="I151" s="50" t="str"/>
      <x:c r="J151" s="33" t="str">
        <x:v>INTERNAL_SAMPLE</x:v>
      </x:c>
      <x:c r="K151" s="33" t="str">
        <x:v>Member 1</x:v>
      </x:c>
    </x:row>
    <x:row r="152" ht="24" customHeight="1">
      <x:c r="A152" s="33" t="str">
        <x:v>ESCA_HSE_02_Core_Operations_Sample_Data.xlsx</x:v>
      </x:c>
      <x:c r="B152" s="33" t="str">
        <x:v>JSA</x:v>
      </x:c>
      <x:c r="C152" s="33" t="str">
        <x:v>created_by</x:v>
      </x:c>
      <x:c r="D152" s="33" t="str">
        <x:v>id</x:v>
      </x:c>
      <x:c r="E152" s="34" t="b">
        <x:v>1</x:v>
      </x:c>
      <x:c r="F152" s="33" t="str">
        <x:v>FK -&gt; Employees.employee_id</x:v>
      </x:c>
      <x:c r="G152" s="50" t="str">
        <x:v>Creator</x:v>
      </x:c>
      <x:c r="H152" s="33" t="str">
        <x:v>EMP-026</x:v>
      </x:c>
      <x:c r="I152" s="50" t="str"/>
      <x:c r="J152" s="33" t="str">
        <x:v>INTERNAL_SAMPLE</x:v>
      </x:c>
      <x:c r="K152" s="33" t="str">
        <x:v>Member 1</x:v>
      </x:c>
    </x:row>
    <x:row r="153" ht="24" customHeight="1">
      <x:c r="A153" s="33" t="str">
        <x:v>ESCA_HSE_02_Core_Operations_Sample_Data.xlsx</x:v>
      </x:c>
      <x:c r="B153" s="33" t="str">
        <x:v>JSA</x:v>
      </x:c>
      <x:c r="C153" s="33" t="str">
        <x:v>created_at</x:v>
      </x:c>
      <x:c r="D153" s="33" t="str">
        <x:v>datetime</x:v>
      </x:c>
      <x:c r="E153" s="34" t="b">
        <x:v>1</x:v>
      </x:c>
      <x:c r="F153" s="33" t="str"/>
      <x:c r="G153" s="50" t="str">
        <x:v>Created timestamp</x:v>
      </x:c>
      <x:c r="H153" s="33" t="n">
        <x:v>46239.5</x:v>
      </x:c>
      <x:c r="I153" s="50" t="str"/>
      <x:c r="J153" s="33" t="str">
        <x:v>INTERNAL_SAMPLE</x:v>
      </x:c>
      <x:c r="K153" s="33" t="str">
        <x:v>Member 1</x:v>
      </x:c>
    </x:row>
    <x:row r="154" ht="24" customHeight="1">
      <x:c r="A154" s="33" t="str">
        <x:v>ESCA_HSE_02_Core_Operations_Sample_Data.xlsx</x:v>
      </x:c>
      <x:c r="B154" s="33" t="str">
        <x:v>JSA</x:v>
      </x:c>
      <x:c r="C154" s="33" t="str">
        <x:v>frequency</x:v>
      </x:c>
      <x:c r="D154" s="33" t="str">
        <x:v>enum</x:v>
      </x:c>
      <x:c r="E154" s="34" t="b">
        <x:v>1</x:v>
      </x:c>
      <x:c r="F154" s="33" t="str"/>
      <x:c r="G154" s="50" t="str">
        <x:v>Task frequency</x:v>
      </x:c>
      <x:c r="H154" s="33" t="str">
        <x:v>AS_NEEDED</x:v>
      </x:c>
      <x:c r="I154" s="50" t="str">
        <x:v>DAILY | WEEKLY | MONTHLY | QUARTERLY | ANNUAL | AS_NEEDED</x:v>
      </x:c>
      <x:c r="J154" s="33" t="str">
        <x:v>INTERNAL_SAMPLE</x:v>
      </x:c>
      <x:c r="K154" s="33" t="str">
        <x:v>Member 1</x:v>
      </x:c>
    </x:row>
    <x:row r="155" ht="24" customHeight="1">
      <x:c r="A155" s="33" t="str">
        <x:v>ESCA_HSE_02_Core_Operations_Sample_Data.xlsx</x:v>
      </x:c>
      <x:c r="B155" s="33" t="str">
        <x:v>JSA</x:v>
      </x:c>
      <x:c r="C155" s="33" t="str">
        <x:v>permit_required</x:v>
      </x:c>
      <x:c r="D155" s="33" t="str">
        <x:v>boolean</x:v>
      </x:c>
      <x:c r="E155" s="34" t="b">
        <x:v>1</x:v>
      </x:c>
      <x:c r="F155" s="33" t="str"/>
      <x:c r="G155" s="50" t="str">
        <x:v>Whether PTW is required</x:v>
      </x:c>
      <x:c r="H155" s="33" t="str">
        <x:v>true</x:v>
      </x:c>
      <x:c r="I155" s="50" t="str"/>
      <x:c r="J155" s="33" t="str">
        <x:v>INTERNAL_SAMPLE</x:v>
      </x:c>
      <x:c r="K155" s="33" t="str">
        <x:v>Member 1</x:v>
      </x:c>
    </x:row>
    <x:row r="156" ht="24" customHeight="1">
      <x:c r="A156" s="33" t="str">
        <x:v>ESCA_HSE_02_Core_Operations_Sample_Data.xlsx</x:v>
      </x:c>
      <x:c r="B156" s="33" t="str">
        <x:v>JSA</x:v>
      </x:c>
      <x:c r="C156" s="33" t="str">
        <x:v>permit_type</x:v>
      </x:c>
      <x:c r="D156" s="33" t="str">
        <x:v>enum</x:v>
      </x:c>
      <x:c r="E156" s="34" t="b">
        <x:v>0</x:v>
      </x:c>
      <x:c r="F156" s="33" t="str"/>
      <x:c r="G156" s="50" t="str">
        <x:v>Required permit type</x:v>
      </x:c>
      <x:c r="H156" s="33" t="str">
        <x:v>ELECTRICAL</x:v>
      </x:c>
      <x:c r="I156" s="50" t="str"/>
      <x:c r="J156" s="33" t="str">
        <x:v>INTERNAL_SAMPLE</x:v>
      </x:c>
      <x:c r="K156" s="33" t="str">
        <x:v>Member 1</x:v>
      </x:c>
    </x:row>
    <x:row r="157" ht="24" customHeight="1">
      <x:c r="A157" s="33" t="str">
        <x:v>ESCA_HSE_02_Core_Operations_Sample_Data.xlsx</x:v>
      </x:c>
      <x:c r="B157" s="33" t="str">
        <x:v>JSA</x:v>
      </x:c>
      <x:c r="C157" s="33" t="str">
        <x:v>inherent_score</x:v>
      </x:c>
      <x:c r="D157" s="33" t="str">
        <x:v>integer</x:v>
      </x:c>
      <x:c r="E157" s="34" t="b">
        <x:v>1</x:v>
      </x:c>
      <x:c r="F157" s="33" t="str"/>
      <x:c r="G157" s="50" t="str">
        <x:v>Overall inherent score</x:v>
      </x:c>
      <x:c r="H157" s="33" t="str">
        <x:v>20</x:v>
      </x:c>
      <x:c r="I157" s="50" t="str"/>
      <x:c r="J157" s="33" t="str">
        <x:v>INTERNAL_SAMPLE</x:v>
      </x:c>
      <x:c r="K157" s="33" t="str">
        <x:v>Member 1</x:v>
      </x:c>
    </x:row>
    <x:row r="158" ht="24" customHeight="1">
      <x:c r="A158" s="33" t="str">
        <x:v>ESCA_HSE_02_Core_Operations_Sample_Data.xlsx</x:v>
      </x:c>
      <x:c r="B158" s="33" t="str">
        <x:v>JSA</x:v>
      </x:c>
      <x:c r="C158" s="33" t="str">
        <x:v>residual_score</x:v>
      </x:c>
      <x:c r="D158" s="33" t="str">
        <x:v>integer</x:v>
      </x:c>
      <x:c r="E158" s="34" t="b">
        <x:v>1</x:v>
      </x:c>
      <x:c r="F158" s="33" t="str"/>
      <x:c r="G158" s="50" t="str">
        <x:v>Overall residual score</x:v>
      </x:c>
      <x:c r="H158" s="33" t="str">
        <x:v>5</x:v>
      </x:c>
      <x:c r="I158" s="50" t="str"/>
      <x:c r="J158" s="33" t="str">
        <x:v>INTERNAL_SAMPLE</x:v>
      </x:c>
      <x:c r="K158" s="33" t="str">
        <x:v>Member 1</x:v>
      </x:c>
    </x:row>
    <x:row r="159" ht="24" customHeight="1">
      <x:c r="A159" s="33" t="str">
        <x:v>ESCA_HSE_02_Core_Operations_Sample_Data.xlsx</x:v>
      </x:c>
      <x:c r="B159" s="33" t="str">
        <x:v>JSA</x:v>
      </x:c>
      <x:c r="C159" s="33" t="str">
        <x:v>status</x:v>
      </x:c>
      <x:c r="D159" s="33" t="str">
        <x:v>enum</x:v>
      </x:c>
      <x:c r="E159" s="34" t="b">
        <x:v>1</x:v>
      </x:c>
      <x:c r="F159" s="33" t="str"/>
      <x:c r="G159" s="50" t="str">
        <x:v>JSA status</x:v>
      </x:c>
      <x:c r="H159" s="33" t="str">
        <x:v>APPROVED</x:v>
      </x:c>
      <x:c r="I159" s="50" t="str">
        <x:v>DRAFT | PENDING_APPROVAL | APPROVED | REJECTED | ARCHIVED</x:v>
      </x:c>
      <x:c r="J159" s="33" t="str">
        <x:v>INTERNAL_SAMPLE</x:v>
      </x:c>
      <x:c r="K159" s="33" t="str">
        <x:v>Member 1</x:v>
      </x:c>
    </x:row>
    <x:row r="160" ht="24" customHeight="1">
      <x:c r="A160" s="33" t="str">
        <x:v>ESCA_HSE_02_Core_Operations_Sample_Data.xlsx</x:v>
      </x:c>
      <x:c r="B160" s="33" t="str">
        <x:v>JSA</x:v>
      </x:c>
      <x:c r="C160" s="33" t="str">
        <x:v>approved_by</x:v>
      </x:c>
      <x:c r="D160" s="33" t="str">
        <x:v>id</x:v>
      </x:c>
      <x:c r="E160" s="34" t="b">
        <x:v>0</x:v>
      </x:c>
      <x:c r="F160" s="33" t="str">
        <x:v>FK -&gt; Employees.employee_id</x:v>
      </x:c>
      <x:c r="G160" s="50" t="str">
        <x:v>Approver</x:v>
      </x:c>
      <x:c r="H160" s="33" t="str">
        <x:v>EMP-010</x:v>
      </x:c>
      <x:c r="I160" s="50" t="str"/>
      <x:c r="J160" s="33" t="str">
        <x:v>INTERNAL_SAMPLE</x:v>
      </x:c>
      <x:c r="K160" s="33" t="str">
        <x:v>Member 1</x:v>
      </x:c>
    </x:row>
    <x:row r="161" ht="24" customHeight="1">
      <x:c r="A161" s="33" t="str">
        <x:v>ESCA_HSE_02_Core_Operations_Sample_Data.xlsx</x:v>
      </x:c>
      <x:c r="B161" s="33" t="str">
        <x:v>JSA</x:v>
      </x:c>
      <x:c r="C161" s="33" t="str">
        <x:v>approved_at</x:v>
      </x:c>
      <x:c r="D161" s="33" t="str">
        <x:v>datetime</x:v>
      </x:c>
      <x:c r="E161" s="34" t="b">
        <x:v>0</x:v>
      </x:c>
      <x:c r="F161" s="33" t="str"/>
      <x:c r="G161" s="50" t="str">
        <x:v>Approval timestamp</x:v>
      </x:c>
      <x:c r="H161" s="33" t="n">
        <x:v>46240.145833333336</x:v>
      </x:c>
      <x:c r="I161" s="50" t="str"/>
      <x:c r="J161" s="33" t="str">
        <x:v>INTERNAL_SAMPLE</x:v>
      </x:c>
      <x:c r="K161" s="33" t="str">
        <x:v>Member 1</x:v>
      </x:c>
    </x:row>
    <x:row r="162" ht="24" customHeight="1">
      <x:c r="A162" s="33" t="str">
        <x:v>ESCA_HSE_02_Core_Operations_Sample_Data.xlsx</x:v>
      </x:c>
      <x:c r="B162" s="33" t="str">
        <x:v>JSA_Steps</x:v>
      </x:c>
      <x:c r="C162" s="33" t="str">
        <x:v>step_id</x:v>
      </x:c>
      <x:c r="D162" s="33" t="str">
        <x:v>id</x:v>
      </x:c>
      <x:c r="E162" s="34" t="b">
        <x:v>1</x:v>
      </x:c>
      <x:c r="F162" s="33" t="str">
        <x:v>PK</x:v>
      </x:c>
      <x:c r="G162" s="50" t="str">
        <x:v>Unique JSA step</x:v>
      </x:c>
      <x:c r="H162" s="33" t="str">
        <x:v>JSA-018-S1</x:v>
      </x:c>
      <x:c r="I162" s="50" t="str"/>
      <x:c r="J162" s="33" t="str">
        <x:v>INTERNAL_SAMPLE</x:v>
      </x:c>
      <x:c r="K162" s="33" t="str">
        <x:v>Member 1</x:v>
      </x:c>
    </x:row>
    <x:row r="163" ht="24" customHeight="1">
      <x:c r="A163" s="33" t="str">
        <x:v>ESCA_HSE_02_Core_Operations_Sample_Data.xlsx</x:v>
      </x:c>
      <x:c r="B163" s="33" t="str">
        <x:v>JSA_Steps</x:v>
      </x:c>
      <x:c r="C163" s="33" t="str">
        <x:v>jsa_id</x:v>
      </x:c>
      <x:c r="D163" s="33" t="str">
        <x:v>id</x:v>
      </x:c>
      <x:c r="E163" s="34" t="b">
        <x:v>1</x:v>
      </x:c>
      <x:c r="F163" s="33" t="str">
        <x:v>FK -&gt; JSA.jsa_id</x:v>
      </x:c>
      <x:c r="G163" s="50" t="str">
        <x:v>Parent JSA</x:v>
      </x:c>
      <x:c r="H163" s="33" t="str">
        <x:v>JSA-018</x:v>
      </x:c>
      <x:c r="I163" s="50" t="str"/>
      <x:c r="J163" s="33" t="str">
        <x:v>INTERNAL_SAMPLE</x:v>
      </x:c>
      <x:c r="K163" s="33" t="str">
        <x:v>Member 1</x:v>
      </x:c>
    </x:row>
    <x:row r="164" ht="24" customHeight="1">
      <x:c r="A164" s="33" t="str">
        <x:v>ESCA_HSE_02_Core_Operations_Sample_Data.xlsx</x:v>
      </x:c>
      <x:c r="B164" s="33" t="str">
        <x:v>JSA_Steps</x:v>
      </x:c>
      <x:c r="C164" s="33" t="str">
        <x:v>step_no</x:v>
      </x:c>
      <x:c r="D164" s="33" t="str">
        <x:v>integer</x:v>
      </x:c>
      <x:c r="E164" s="34" t="b">
        <x:v>1</x:v>
      </x:c>
      <x:c r="F164" s="33" t="str"/>
      <x:c r="G164" s="50" t="str">
        <x:v>Step order</x:v>
      </x:c>
      <x:c r="H164" s="33" t="str">
        <x:v>1</x:v>
      </x:c>
      <x:c r="I164" s="50" t="str"/>
      <x:c r="J164" s="33" t="str">
        <x:v>INTERNAL_SAMPLE</x:v>
      </x:c>
      <x:c r="K164" s="33" t="str">
        <x:v>Member 1</x:v>
      </x:c>
    </x:row>
    <x:row r="165" ht="24" customHeight="1">
      <x:c r="A165" s="33" t="str">
        <x:v>ESCA_HSE_02_Core_Operations_Sample_Data.xlsx</x:v>
      </x:c>
      <x:c r="B165" s="33" t="str">
        <x:v>JSA_Steps</x:v>
      </x:c>
      <x:c r="C165" s="33" t="str">
        <x:v>task_step</x:v>
      </x:c>
      <x:c r="D165" s="33" t="str">
        <x:v>long_text</x:v>
      </x:c>
      <x:c r="E165" s="34" t="b">
        <x:v>1</x:v>
      </x:c>
      <x:c r="F165" s="33" t="str"/>
      <x:c r="G165" s="50" t="str">
        <x:v>Work step</x:v>
      </x:c>
      <x:c r="H165" s="33" t="str">
        <x:v>Isolate incoming supply</x:v>
      </x:c>
      <x:c r="I165" s="50" t="str"/>
      <x:c r="J165" s="33" t="str">
        <x:v>INTERNAL_SAMPLE</x:v>
      </x:c>
      <x:c r="K165" s="33" t="str">
        <x:v>Member 1</x:v>
      </x:c>
    </x:row>
    <x:row r="166" ht="24" customHeight="1">
      <x:c r="A166" s="33" t="str">
        <x:v>ESCA_HSE_02_Core_Operations_Sample_Data.xlsx</x:v>
      </x:c>
      <x:c r="B166" s="33" t="str">
        <x:v>JSA_Steps</x:v>
      </x:c>
      <x:c r="C166" s="33" t="str">
        <x:v>hazard</x:v>
      </x:c>
      <x:c r="D166" s="33" t="str">
        <x:v>long_text</x:v>
      </x:c>
      <x:c r="E166" s="34" t="b">
        <x:v>1</x:v>
      </x:c>
      <x:c r="F166" s="33" t="str"/>
      <x:c r="G166" s="50" t="str">
        <x:v>Hazard</x:v>
      </x:c>
      <x:c r="H166" s="33" t="str">
        <x:v>Unexpected energization</x:v>
      </x:c>
      <x:c r="I166" s="50" t="str"/>
      <x:c r="J166" s="33" t="str">
        <x:v>INTERNAL_SAMPLE</x:v>
      </x:c>
      <x:c r="K166" s="33" t="str">
        <x:v>Member 1</x:v>
      </x:c>
    </x:row>
    <x:row r="167" ht="24" customHeight="1">
      <x:c r="A167" s="33" t="str">
        <x:v>ESCA_HSE_02_Core_Operations_Sample_Data.xlsx</x:v>
      </x:c>
      <x:c r="B167" s="33" t="str">
        <x:v>JSA_Steps</x:v>
      </x:c>
      <x:c r="C167" s="33" t="str">
        <x:v>control_level</x:v>
      </x:c>
      <x:c r="D167" s="33" t="str">
        <x:v>enum</x:v>
      </x:c>
      <x:c r="E167" s="34" t="b">
        <x:v>1</x:v>
      </x:c>
      <x:c r="F167" s="33" t="str"/>
      <x:c r="G167" s="50" t="str">
        <x:v>Hierarchy of control</x:v>
      </x:c>
      <x:c r="H167" s="33" t="str">
        <x:v>ELIMINATION</x:v>
      </x:c>
      <x:c r="I167" s="50" t="str">
        <x:v>ELIMINATION | SUBSTITUTION | ENGINEERING | ADMINISTRATIVE | PPE</x:v>
      </x:c>
      <x:c r="J167" s="33" t="str">
        <x:v>INTERNAL_SAMPLE</x:v>
      </x:c>
      <x:c r="K167" s="33" t="str">
        <x:v>Member 1</x:v>
      </x:c>
    </x:row>
    <x:row r="168" ht="24" customHeight="1">
      <x:c r="A168" s="33" t="str">
        <x:v>ESCA_HSE_02_Core_Operations_Sample_Data.xlsx</x:v>
      </x:c>
      <x:c r="B168" s="33" t="str">
        <x:v>JSA_Steps</x:v>
      </x:c>
      <x:c r="C168" s="33" t="str">
        <x:v>control_measure</x:v>
      </x:c>
      <x:c r="D168" s="33" t="str">
        <x:v>long_text</x:v>
      </x:c>
      <x:c r="E168" s="34" t="b">
        <x:v>1</x:v>
      </x:c>
      <x:c r="F168" s="33" t="str"/>
      <x:c r="G168" s="50" t="str">
        <x:v>Selected control</x:v>
      </x:c>
      <x:c r="H168" s="33" t="str">
        <x:v>Open and lock upstream breaker</x:v>
      </x:c>
      <x:c r="I168" s="50" t="str"/>
      <x:c r="J168" s="33" t="str">
        <x:v>INTERNAL_SAMPLE</x:v>
      </x:c>
      <x:c r="K168" s="33" t="str">
        <x:v>Member 1</x:v>
      </x:c>
    </x:row>
    <x:row r="169" ht="24" customHeight="1">
      <x:c r="A169" s="33" t="str">
        <x:v>ESCA_HSE_02_Core_Operations_Sample_Data.xlsx</x:v>
      </x:c>
      <x:c r="B169" s="33" t="str">
        <x:v>JSA_Steps</x:v>
      </x:c>
      <x:c r="C169" s="33" t="str">
        <x:v>likelihood_before</x:v>
      </x:c>
      <x:c r="D169" s="33" t="str">
        <x:v>integer</x:v>
      </x:c>
      <x:c r="E169" s="34" t="b">
        <x:v>1</x:v>
      </x:c>
      <x:c r="F169" s="33" t="str"/>
      <x:c r="G169" s="50" t="str">
        <x:v>Likelihood before controls</x:v>
      </x:c>
      <x:c r="H169" s="33" t="str">
        <x:v>4</x:v>
      </x:c>
      <x:c r="I169" s="50" t="str"/>
      <x:c r="J169" s="33" t="str">
        <x:v>INTERNAL_SAMPLE</x:v>
      </x:c>
      <x:c r="K169" s="33" t="str">
        <x:v>Member 1</x:v>
      </x:c>
    </x:row>
    <x:row r="170" ht="24" customHeight="1">
      <x:c r="A170" s="33" t="str">
        <x:v>ESCA_HSE_02_Core_Operations_Sample_Data.xlsx</x:v>
      </x:c>
      <x:c r="B170" s="33" t="str">
        <x:v>JSA_Steps</x:v>
      </x:c>
      <x:c r="C170" s="33" t="str">
        <x:v>severity_before</x:v>
      </x:c>
      <x:c r="D170" s="33" t="str">
        <x:v>integer</x:v>
      </x:c>
      <x:c r="E170" s="34" t="b">
        <x:v>1</x:v>
      </x:c>
      <x:c r="F170" s="33" t="str"/>
      <x:c r="G170" s="50" t="str">
        <x:v>Severity before controls</x:v>
      </x:c>
      <x:c r="H170" s="33" t="str">
        <x:v>5</x:v>
      </x:c>
      <x:c r="I170" s="50" t="str"/>
      <x:c r="J170" s="33" t="str">
        <x:v>INTERNAL_SAMPLE</x:v>
      </x:c>
      <x:c r="K170" s="33" t="str">
        <x:v>Member 1</x:v>
      </x:c>
    </x:row>
    <x:row r="171" ht="24" customHeight="1">
      <x:c r="A171" s="33" t="str">
        <x:v>ESCA_HSE_02_Core_Operations_Sample_Data.xlsx</x:v>
      </x:c>
      <x:c r="B171" s="33" t="str">
        <x:v>JSA_Steps</x:v>
      </x:c>
      <x:c r="C171" s="33" t="str">
        <x:v>score_before</x:v>
      </x:c>
      <x:c r="D171" s="33" t="str">
        <x:v>formula</x:v>
      </x:c>
      <x:c r="E171" s="34" t="b">
        <x:v>1</x:v>
      </x:c>
      <x:c r="F171" s="33" t="str"/>
      <x:c r="G171" s="50" t="str">
        <x:v>Before-control score</x:v>
      </x:c>
      <x:c r="H171" s="33" t="str">
        <x:v>Formula-derived</x:v>
      </x:c>
      <x:c r="I171" s="50" t="str"/>
      <x:c r="J171" s="33" t="str">
        <x:v>INTERNAL_SAMPLE</x:v>
      </x:c>
      <x:c r="K171" s="33" t="str">
        <x:v>Member 1</x:v>
      </x:c>
    </x:row>
    <x:row r="172" ht="24" customHeight="1">
      <x:c r="A172" s="33" t="str">
        <x:v>ESCA_HSE_02_Core_Operations_Sample_Data.xlsx</x:v>
      </x:c>
      <x:c r="B172" s="33" t="str">
        <x:v>JSA_Steps</x:v>
      </x:c>
      <x:c r="C172" s="33" t="str">
        <x:v>likelihood_after</x:v>
      </x:c>
      <x:c r="D172" s="33" t="str">
        <x:v>integer</x:v>
      </x:c>
      <x:c r="E172" s="34" t="b">
        <x:v>1</x:v>
      </x:c>
      <x:c r="F172" s="33" t="str"/>
      <x:c r="G172" s="50" t="str">
        <x:v>Likelihood after controls</x:v>
      </x:c>
      <x:c r="H172" s="33" t="str">
        <x:v>1</x:v>
      </x:c>
      <x:c r="I172" s="50" t="str"/>
      <x:c r="J172" s="33" t="str">
        <x:v>INTERNAL_SAMPLE</x:v>
      </x:c>
      <x:c r="K172" s="33" t="str">
        <x:v>Member 1</x:v>
      </x:c>
    </x:row>
    <x:row r="173" ht="24" customHeight="1">
      <x:c r="A173" s="33" t="str">
        <x:v>ESCA_HSE_02_Core_Operations_Sample_Data.xlsx</x:v>
      </x:c>
      <x:c r="B173" s="33" t="str">
        <x:v>JSA_Steps</x:v>
      </x:c>
      <x:c r="C173" s="33" t="str">
        <x:v>severity_after</x:v>
      </x:c>
      <x:c r="D173" s="33" t="str">
        <x:v>integer</x:v>
      </x:c>
      <x:c r="E173" s="34" t="b">
        <x:v>1</x:v>
      </x:c>
      <x:c r="F173" s="33" t="str"/>
      <x:c r="G173" s="50" t="str">
        <x:v>Severity after controls</x:v>
      </x:c>
      <x:c r="H173" s="33" t="str">
        <x:v>5</x:v>
      </x:c>
      <x:c r="I173" s="50" t="str"/>
      <x:c r="J173" s="33" t="str">
        <x:v>INTERNAL_SAMPLE</x:v>
      </x:c>
      <x:c r="K173" s="33" t="str">
        <x:v>Member 1</x:v>
      </x:c>
    </x:row>
    <x:row r="174" ht="24" customHeight="1">
      <x:c r="A174" s="33" t="str">
        <x:v>ESCA_HSE_02_Core_Operations_Sample_Data.xlsx</x:v>
      </x:c>
      <x:c r="B174" s="33" t="str">
        <x:v>JSA_Steps</x:v>
      </x:c>
      <x:c r="C174" s="33" t="str">
        <x:v>score_after</x:v>
      </x:c>
      <x:c r="D174" s="33" t="str">
        <x:v>formula</x:v>
      </x:c>
      <x:c r="E174" s="34" t="b">
        <x:v>1</x:v>
      </x:c>
      <x:c r="F174" s="33" t="str"/>
      <x:c r="G174" s="50" t="str">
        <x:v>After-control score</x:v>
      </x:c>
      <x:c r="H174" s="33" t="str">
        <x:v>Formula-derived</x:v>
      </x:c>
      <x:c r="I174" s="50" t="str"/>
      <x:c r="J174" s="33" t="str">
        <x:v>INTERNAL_SAMPLE</x:v>
      </x:c>
      <x:c r="K174" s="33" t="str">
        <x:v>Member 1</x:v>
      </x:c>
    </x:row>
    <x:row r="175" ht="24" customHeight="1">
      <x:c r="A175" s="33" t="str">
        <x:v>ESCA_HSE_02_Core_Operations_Sample_Data.xlsx</x:v>
      </x:c>
      <x:c r="B175" s="33" t="str">
        <x:v>JSA_Steps</x:v>
      </x:c>
      <x:c r="C175" s="33" t="str">
        <x:v>responsible_role</x:v>
      </x:c>
      <x:c r="D175" s="33" t="str">
        <x:v>text</x:v>
      </x:c>
      <x:c r="E175" s="34" t="b">
        <x:v>1</x:v>
      </x:c>
      <x:c r="F175" s="33" t="str"/>
      <x:c r="G175" s="50" t="str">
        <x:v>Responsible role</x:v>
      </x:c>
      <x:c r="H175" s="33" t="str">
        <x:v>Authorized electrician</x:v>
      </x:c>
      <x:c r="I175" s="50" t="str"/>
      <x:c r="J175" s="33" t="str">
        <x:v>INTERNAL_SAMPLE</x:v>
      </x:c>
      <x:c r="K175" s="33" t="str">
        <x:v>Member 1</x:v>
      </x:c>
    </x:row>
    <x:row r="176" ht="24" customHeight="1">
      <x:c r="A176" s="33" t="str">
        <x:v>ESCA_HSE_02_Core_Operations_Sample_Data.xlsx</x:v>
      </x:c>
      <x:c r="B176" s="33" t="str">
        <x:v>Permits</x:v>
      </x:c>
      <x:c r="C176" s="33" t="str">
        <x:v>permit_id</x:v>
      </x:c>
      <x:c r="D176" s="33" t="str">
        <x:v>id</x:v>
      </x:c>
      <x:c r="E176" s="34" t="b">
        <x:v>1</x:v>
      </x:c>
      <x:c r="F176" s="33" t="str">
        <x:v>PK</x:v>
      </x:c>
      <x:c r="G176" s="50" t="str">
        <x:v>Unique PTW identifier</x:v>
      </x:c>
      <x:c r="H176" s="33" t="str">
        <x:v>PTW-2026-0412</x:v>
      </x:c>
      <x:c r="I176" s="50" t="str"/>
      <x:c r="J176" s="33" t="str">
        <x:v>INTERNAL_SAMPLE</x:v>
      </x:c>
      <x:c r="K176" s="33" t="str">
        <x:v>Member 1</x:v>
      </x:c>
    </x:row>
    <x:row r="177" ht="24" customHeight="1">
      <x:c r="A177" s="33" t="str">
        <x:v>ESCA_HSE_02_Core_Operations_Sample_Data.xlsx</x:v>
      </x:c>
      <x:c r="B177" s="33" t="str">
        <x:v>Permits</x:v>
      </x:c>
      <x:c r="C177" s="33" t="str">
        <x:v>permit_type</x:v>
      </x:c>
      <x:c r="D177" s="33" t="str">
        <x:v>enum</x:v>
      </x:c>
      <x:c r="E177" s="34" t="b">
        <x:v>1</x:v>
      </x:c>
      <x:c r="F177" s="33" t="str"/>
      <x:c r="G177" s="50" t="str">
        <x:v>Permit category</x:v>
      </x:c>
      <x:c r="H177" s="33" t="str">
        <x:v>HOT_WORK</x:v>
      </x:c>
      <x:c r="I177" s="50" t="str">
        <x:v>HOT_WORK | ELECTRICAL | WORK_AT_HEIGHT | CONFINED_SPACE | MECHANICAL_LOTO | EXCAVATION | RADIOGRAPHY</x:v>
      </x:c>
      <x:c r="J177" s="33" t="str">
        <x:v>INTERNAL_SAMPLE</x:v>
      </x:c>
      <x:c r="K177" s="33" t="str">
        <x:v>Member 1</x:v>
      </x:c>
    </x:row>
    <x:row r="178" ht="24" customHeight="1">
      <x:c r="A178" s="33" t="str">
        <x:v>ESCA_HSE_02_Core_Operations_Sample_Data.xlsx</x:v>
      </x:c>
      <x:c r="B178" s="33" t="str">
        <x:v>Permits</x:v>
      </x:c>
      <x:c r="C178" s="33" t="str">
        <x:v>department_id</x:v>
      </x:c>
      <x:c r="D178" s="33" t="str">
        <x:v>id</x:v>
      </x:c>
      <x:c r="E178" s="34" t="b">
        <x:v>1</x:v>
      </x:c>
      <x:c r="F178" s="33" t="str">
        <x:v>FK -&gt; Departments.department_id</x:v>
      </x:c>
      <x:c r="G178" s="50" t="str">
        <x:v>Department</x:v>
      </x:c>
      <x:c r="H178" s="33" t="str">
        <x:v>DEP-MAINT</x:v>
      </x:c>
      <x:c r="I178" s="50" t="str"/>
      <x:c r="J178" s="33" t="str">
        <x:v>INTERNAL_SAMPLE</x:v>
      </x:c>
      <x:c r="K178" s="33" t="str">
        <x:v>Member 1</x:v>
      </x:c>
    </x:row>
    <x:row r="179" ht="24" customHeight="1">
      <x:c r="A179" s="33" t="str">
        <x:v>ESCA_HSE_02_Core_Operations_Sample_Data.xlsx</x:v>
      </x:c>
      <x:c r="B179" s="33" t="str">
        <x:v>Permits</x:v>
      </x:c>
      <x:c r="C179" s="33" t="str">
        <x:v>zone_id</x:v>
      </x:c>
      <x:c r="D179" s="33" t="str">
        <x:v>id</x:v>
      </x:c>
      <x:c r="E179" s="34" t="b">
        <x:v>1</x:v>
      </x:c>
      <x:c r="F179" s="33" t="str">
        <x:v>FK -&gt; Zones.zone_id</x:v>
      </x:c>
      <x:c r="G179" s="50" t="str">
        <x:v>Work zone</x:v>
      </x:c>
      <x:c r="H179" s="33" t="str">
        <x:v>ZN-M01</x:v>
      </x:c>
      <x:c r="I179" s="50" t="str"/>
      <x:c r="J179" s="33" t="str">
        <x:v>INTERNAL_SAMPLE</x:v>
      </x:c>
      <x:c r="K179" s="33" t="str">
        <x:v>Member 1</x:v>
      </x:c>
    </x:row>
    <x:row r="180" ht="24" customHeight="1">
      <x:c r="A180" s="33" t="str">
        <x:v>ESCA_HSE_02_Core_Operations_Sample_Data.xlsx</x:v>
      </x:c>
      <x:c r="B180" s="33" t="str">
        <x:v>Permits</x:v>
      </x:c>
      <x:c r="C180" s="33" t="str">
        <x:v>work_description</x:v>
      </x:c>
      <x:c r="D180" s="33" t="str">
        <x:v>long_text</x:v>
      </x:c>
      <x:c r="E180" s="34" t="b">
        <x:v>1</x:v>
      </x:c>
      <x:c r="F180" s="33" t="str"/>
      <x:c r="G180" s="50" t="str">
        <x:v>Work scope</x:v>
      </x:c>
      <x:c r="H180" s="33" t="str">
        <x:v>Weld machine support frame</x:v>
      </x:c>
      <x:c r="I180" s="50" t="str"/>
      <x:c r="J180" s="33" t="str">
        <x:v>INTERNAL_SAMPLE</x:v>
      </x:c>
      <x:c r="K180" s="33" t="str">
        <x:v>Member 1</x:v>
      </x:c>
    </x:row>
    <x:row r="181" ht="24" customHeight="1">
      <x:c r="A181" s="33" t="str">
        <x:v>ESCA_HSE_02_Core_Operations_Sample_Data.xlsx</x:v>
      </x:c>
      <x:c r="B181" s="33" t="str">
        <x:v>Permits</x:v>
      </x:c>
      <x:c r="C181" s="33" t="str">
        <x:v>requester_id</x:v>
      </x:c>
      <x:c r="D181" s="33" t="str">
        <x:v>id</x:v>
      </x:c>
      <x:c r="E181" s="34" t="b">
        <x:v>1</x:v>
      </x:c>
      <x:c r="F181" s="33" t="str">
        <x:v>FK -&gt; Employees.employee_id</x:v>
      </x:c>
      <x:c r="G181" s="50" t="str">
        <x:v>Requester</x:v>
      </x:c>
      <x:c r="H181" s="33" t="str">
        <x:v>EMP-021</x:v>
      </x:c>
      <x:c r="I181" s="50" t="str"/>
      <x:c r="J181" s="33" t="str">
        <x:v>INTERNAL_SAMPLE</x:v>
      </x:c>
      <x:c r="K181" s="33" t="str">
        <x:v>Member 1</x:v>
      </x:c>
    </x:row>
    <x:row r="182" ht="24" customHeight="1">
      <x:c r="A182" s="33" t="str">
        <x:v>ESCA_HSE_02_Core_Operations_Sample_Data.xlsx</x:v>
      </x:c>
      <x:c r="B182" s="33" t="str">
        <x:v>Permits</x:v>
      </x:c>
      <x:c r="C182" s="33" t="str">
        <x:v>issuer_id</x:v>
      </x:c>
      <x:c r="D182" s="33" t="str">
        <x:v>id</x:v>
      </x:c>
      <x:c r="E182" s="34" t="b">
        <x:v>1</x:v>
      </x:c>
      <x:c r="F182" s="33" t="str">
        <x:v>FK -&gt; Employees.employee_id</x:v>
      </x:c>
      <x:c r="G182" s="50" t="str">
        <x:v>Permit issuer</x:v>
      </x:c>
      <x:c r="H182" s="33" t="str">
        <x:v>EMP-010</x:v>
      </x:c>
      <x:c r="I182" s="50" t="str"/>
      <x:c r="J182" s="33" t="str">
        <x:v>INTERNAL_SAMPLE</x:v>
      </x:c>
      <x:c r="K182" s="33" t="str">
        <x:v>Member 1</x:v>
      </x:c>
    </x:row>
    <x:row r="183" ht="24" customHeight="1">
      <x:c r="A183" s="33" t="str">
        <x:v>ESCA_HSE_02_Core_Operations_Sample_Data.xlsx</x:v>
      </x:c>
      <x:c r="B183" s="33" t="str">
        <x:v>Permits</x:v>
      </x:c>
      <x:c r="C183" s="33" t="str">
        <x:v>executor_type</x:v>
      </x:c>
      <x:c r="D183" s="33" t="str">
        <x:v>enum</x:v>
      </x:c>
      <x:c r="E183" s="34" t="b">
        <x:v>1</x:v>
      </x:c>
      <x:c r="F183" s="33" t="str"/>
      <x:c r="G183" s="50" t="str">
        <x:v>Internal or contractor</x:v>
      </x:c>
      <x:c r="H183" s="33" t="str">
        <x:v>INTERNAL</x:v>
      </x:c>
      <x:c r="I183" s="50" t="str">
        <x:v>INTERNAL | CONTRACTOR</x:v>
      </x:c>
      <x:c r="J183" s="33" t="str">
        <x:v>INTERNAL_SAMPLE</x:v>
      </x:c>
      <x:c r="K183" s="33" t="str">
        <x:v>Member 1</x:v>
      </x:c>
    </x:row>
    <x:row r="184" ht="24" customHeight="1">
      <x:c r="A184" s="33" t="str">
        <x:v>ESCA_HSE_02_Core_Operations_Sample_Data.xlsx</x:v>
      </x:c>
      <x:c r="B184" s="33" t="str">
        <x:v>Permits</x:v>
      </x:c>
      <x:c r="C184" s="33" t="str">
        <x:v>executor_name</x:v>
      </x:c>
      <x:c r="D184" s="33" t="str">
        <x:v>text</x:v>
      </x:c>
      <x:c r="E184" s="34" t="b">
        <x:v>1</x:v>
      </x:c>
      <x:c r="F184" s="33" t="str"/>
      <x:c r="G184" s="50" t="str">
        <x:v>Executing team</x:v>
      </x:c>
      <x:c r="H184" s="33" t="str">
        <x:v>Maintenance welding team</x:v>
      </x:c>
      <x:c r="I184" s="50" t="str"/>
      <x:c r="J184" s="33" t="str">
        <x:v>INTERNAL_SAMPLE</x:v>
      </x:c>
      <x:c r="K184" s="33" t="str">
        <x:v>Member 1</x:v>
      </x:c>
    </x:row>
    <x:row r="185" ht="24" customHeight="1">
      <x:c r="A185" s="33" t="str">
        <x:v>ESCA_HSE_02_Core_Operations_Sample_Data.xlsx</x:v>
      </x:c>
      <x:c r="B185" s="33" t="str">
        <x:v>Permits</x:v>
      </x:c>
      <x:c r="C185" s="33" t="str">
        <x:v>start_at</x:v>
      </x:c>
      <x:c r="D185" s="33" t="str">
        <x:v>datetime</x:v>
      </x:c>
      <x:c r="E185" s="34" t="b">
        <x:v>1</x:v>
      </x:c>
      <x:c r="F185" s="33" t="str"/>
      <x:c r="G185" s="50" t="str">
        <x:v>Start timestamp</x:v>
      </x:c>
      <x:c r="H185" s="33" t="n">
        <x:v>46247.208333333336</x:v>
      </x:c>
      <x:c r="I185" s="50" t="str"/>
      <x:c r="J185" s="33" t="str">
        <x:v>INTERNAL_SAMPLE</x:v>
      </x:c>
      <x:c r="K185" s="33" t="str">
        <x:v>Member 1</x:v>
      </x:c>
    </x:row>
    <x:row r="186" ht="24" customHeight="1">
      <x:c r="A186" s="33" t="str">
        <x:v>ESCA_HSE_02_Core_Operations_Sample_Data.xlsx</x:v>
      </x:c>
      <x:c r="B186" s="33" t="str">
        <x:v>Permits</x:v>
      </x:c>
      <x:c r="C186" s="33" t="str">
        <x:v>expiry_at</x:v>
      </x:c>
      <x:c r="D186" s="33" t="str">
        <x:v>datetime</x:v>
      </x:c>
      <x:c r="E186" s="34" t="b">
        <x:v>1</x:v>
      </x:c>
      <x:c r="F186" s="33" t="str"/>
      <x:c r="G186" s="50" t="str">
        <x:v>Expiry timestamp</x:v>
      </x:c>
      <x:c r="H186" s="33" t="n">
        <x:v>46247.458333333336</x:v>
      </x:c>
      <x:c r="I186" s="50" t="str"/>
      <x:c r="J186" s="33" t="str">
        <x:v>INTERNAL_SAMPLE</x:v>
      </x:c>
      <x:c r="K186" s="33" t="str">
        <x:v>Member 1</x:v>
      </x:c>
    </x:row>
    <x:row r="187" ht="24" customHeight="1">
      <x:c r="A187" s="33" t="str">
        <x:v>ESCA_HSE_02_Core_Operations_Sample_Data.xlsx</x:v>
      </x:c>
      <x:c r="B187" s="33" t="str">
        <x:v>Permits</x:v>
      </x:c>
      <x:c r="C187" s="33" t="str">
        <x:v>risk_level</x:v>
      </x:c>
      <x:c r="D187" s="33" t="str">
        <x:v>enum</x:v>
      </x:c>
      <x:c r="E187" s="34" t="b">
        <x:v>1</x:v>
      </x:c>
      <x:c r="F187" s="33" t="str"/>
      <x:c r="G187" s="50" t="str">
        <x:v>Permit risk</x:v>
      </x:c>
      <x:c r="H187" s="33" t="str">
        <x:v>HIGH</x:v>
      </x:c>
      <x:c r="I187" s="50" t="str">
        <x:v>LOW | MEDIUM | HIGH | CRITICAL</x:v>
      </x:c>
      <x:c r="J187" s="33" t="str">
        <x:v>INTERNAL_SAMPLE</x:v>
      </x:c>
      <x:c r="K187" s="33" t="str">
        <x:v>Member 1</x:v>
      </x:c>
    </x:row>
    <x:row r="188" ht="24" customHeight="1">
      <x:c r="A188" s="33" t="str">
        <x:v>ESCA_HSE_02_Core_Operations_Sample_Data.xlsx</x:v>
      </x:c>
      <x:c r="B188" s="33" t="str">
        <x:v>Permits</x:v>
      </x:c>
      <x:c r="C188" s="33" t="str">
        <x:v>jsa_id</x:v>
      </x:c>
      <x:c r="D188" s="33" t="str">
        <x:v>id</x:v>
      </x:c>
      <x:c r="E188" s="34" t="b">
        <x:v>0</x:v>
      </x:c>
      <x:c r="F188" s="33" t="str">
        <x:v>FK -&gt; JSA.jsa_id</x:v>
      </x:c>
      <x:c r="G188" s="50" t="str">
        <x:v>Linked JSA</x:v>
      </x:c>
      <x:c r="H188" s="33" t="str">
        <x:v>JSA-019</x:v>
      </x:c>
      <x:c r="I188" s="50" t="str"/>
      <x:c r="J188" s="33" t="str">
        <x:v>INTERNAL_SAMPLE</x:v>
      </x:c>
      <x:c r="K188" s="33" t="str">
        <x:v>Member 1</x:v>
      </x:c>
    </x:row>
    <x:row r="189" ht="24" customHeight="1">
      <x:c r="A189" s="33" t="str">
        <x:v>ESCA_HSE_02_Core_Operations_Sample_Data.xlsx</x:v>
      </x:c>
      <x:c r="B189" s="33" t="str">
        <x:v>Permits</x:v>
      </x:c>
      <x:c r="C189" s="33" t="str">
        <x:v>status</x:v>
      </x:c>
      <x:c r="D189" s="33" t="str">
        <x:v>enum</x:v>
      </x:c>
      <x:c r="E189" s="34" t="b">
        <x:v>1</x:v>
      </x:c>
      <x:c r="F189" s="33" t="str"/>
      <x:c r="G189" s="50" t="str">
        <x:v>Permit status</x:v>
      </x:c>
      <x:c r="H189" s="33" t="str">
        <x:v>ACTIVE</x:v>
      </x:c>
      <x:c r="I189" s="50" t="str">
        <x:v>DRAFT | PENDING_APPROVAL | ACTIVE | SUSPENDED | EXPIRED | CLOSED | CANCELLED | REJECTED</x:v>
      </x:c>
      <x:c r="J189" s="33" t="str">
        <x:v>INTERNAL_SAMPLE</x:v>
      </x:c>
      <x:c r="K189" s="33" t="str">
        <x:v>Member 1</x:v>
      </x:c>
    </x:row>
    <x:row r="190" ht="24" customHeight="1">
      <x:c r="A190" s="33" t="str">
        <x:v>ESCA_HSE_02_Core_Operations_Sample_Data.xlsx</x:v>
      </x:c>
      <x:c r="B190" s="33" t="str">
        <x:v>Permits</x:v>
      </x:c>
      <x:c r="C190" s="33" t="str">
        <x:v>suspended_reason</x:v>
      </x:c>
      <x:c r="D190" s="33" t="str">
        <x:v>long_text</x:v>
      </x:c>
      <x:c r="E190" s="34" t="b">
        <x:v>0</x:v>
      </x:c>
      <x:c r="F190" s="33" t="str"/>
      <x:c r="G190" s="50" t="str">
        <x:v>Suspension/rejection reason</x:v>
      </x:c>
      <x:c r="H190" s="33" t="str">
        <x:v>O2 reading below 19.5%</x:v>
      </x:c>
      <x:c r="I190" s="50" t="str"/>
      <x:c r="J190" s="33" t="str">
        <x:v>INTERNAL_SAMPLE</x:v>
      </x:c>
      <x:c r="K190" s="33" t="str">
        <x:v>Member 1</x:v>
      </x:c>
    </x:row>
    <x:row r="191" ht="24" customHeight="1">
      <x:c r="A191" s="33" t="str">
        <x:v>ESCA_HSE_02_Core_Operations_Sample_Data.xlsx</x:v>
      </x:c>
      <x:c r="B191" s="33" t="str">
        <x:v>Permits</x:v>
      </x:c>
      <x:c r="C191" s="33" t="str">
        <x:v>actual_close_at</x:v>
      </x:c>
      <x:c r="D191" s="33" t="str">
        <x:v>datetime</x:v>
      </x:c>
      <x:c r="E191" s="34" t="b">
        <x:v>0</x:v>
      </x:c>
      <x:c r="F191" s="33" t="str"/>
      <x:c r="G191" s="50" t="str">
        <x:v>Actual close timestamp</x:v>
      </x:c>
      <x:c r="H191" s="33" t="n">
        <x:v>46246.319444444445</x:v>
      </x:c>
      <x:c r="I191" s="50" t="str"/>
      <x:c r="J191" s="33" t="str">
        <x:v>INTERNAL_SAMPLE</x:v>
      </x:c>
      <x:c r="K191" s="33" t="str">
        <x:v>Member 1</x:v>
      </x:c>
    </x:row>
    <x:row r="192" ht="24" customHeight="1">
      <x:c r="A192" s="33" t="str">
        <x:v>ESCA_HSE_02_Core_Operations_Sample_Data.xlsx</x:v>
      </x:c>
      <x:c r="B192" s="33" t="str">
        <x:v>Permits</x:v>
      </x:c>
      <x:c r="C192" s="33" t="str">
        <x:v>hours_to_expiry</x:v>
      </x:c>
      <x:c r="D192" s="33" t="str">
        <x:v>formula</x:v>
      </x:c>
      <x:c r="E192" s="34" t="b">
        <x:v>1</x:v>
      </x:c>
      <x:c r="F192" s="33" t="str"/>
      <x:c r="G192" s="50" t="str">
        <x:v>Derived hours to expiry</x:v>
      </x:c>
      <x:c r="H192" s="33" t="str">
        <x:v>Formula-derived</x:v>
      </x:c>
      <x:c r="I192" s="50" t="str"/>
      <x:c r="J192" s="33" t="str">
        <x:v>INTERNAL_SAMPLE</x:v>
      </x:c>
      <x:c r="K192" s="33" t="str">
        <x:v>Member 1</x:v>
      </x:c>
    </x:row>
    <x:row r="193" ht="24" customHeight="1">
      <x:c r="A193" s="33" t="str">
        <x:v>ESCA_HSE_02_Core_Operations_Sample_Data.xlsx</x:v>
      </x:c>
      <x:c r="B193" s="33" t="str">
        <x:v>Permits</x:v>
      </x:c>
      <x:c r="C193" s="33" t="str">
        <x:v>automation_flag</x:v>
      </x:c>
      <x:c r="D193" s="33" t="str">
        <x:v>formula</x:v>
      </x:c>
      <x:c r="E193" s="34" t="b">
        <x:v>1</x:v>
      </x:c>
      <x:c r="F193" s="33" t="str"/>
      <x:c r="G193" s="50" t="str">
        <x:v>Derived permit automation decision</x:v>
      </x:c>
      <x:c r="H193" s="33" t="str">
        <x:v>Formula-derived</x:v>
      </x:c>
      <x:c r="I193" s="50" t="str"/>
      <x:c r="J193" s="33" t="str">
        <x:v>INTERNAL_SAMPLE</x:v>
      </x:c>
      <x:c r="K193" s="33" t="str">
        <x:v>Member 1</x:v>
      </x:c>
    </x:row>
    <x:row r="194" ht="24" customHeight="1">
      <x:c r="A194" s="33" t="str">
        <x:v>ESCA_HSE_02_Core_Operations_Sample_Data.xlsx</x:v>
      </x:c>
      <x:c r="B194" s="33" t="str">
        <x:v>Permit_Approvals</x:v>
      </x:c>
      <x:c r="C194" s="33" t="str">
        <x:v>approval_id</x:v>
      </x:c>
      <x:c r="D194" s="33" t="str">
        <x:v>id</x:v>
      </x:c>
      <x:c r="E194" s="34" t="b">
        <x:v>1</x:v>
      </x:c>
      <x:c r="F194" s="33" t="str">
        <x:v>PK</x:v>
      </x:c>
      <x:c r="G194" s="50" t="str">
        <x:v>Unique approval step</x:v>
      </x:c>
      <x:c r="H194" s="33" t="str">
        <x:v>APR-001</x:v>
      </x:c>
      <x:c r="I194" s="50" t="str"/>
      <x:c r="J194" s="33" t="str">
        <x:v>INTERNAL_SAMPLE</x:v>
      </x:c>
      <x:c r="K194" s="33" t="str">
        <x:v>Member 1</x:v>
      </x:c>
    </x:row>
    <x:row r="195" ht="24" customHeight="1">
      <x:c r="A195" s="33" t="str">
        <x:v>ESCA_HSE_02_Core_Operations_Sample_Data.xlsx</x:v>
      </x:c>
      <x:c r="B195" s="33" t="str">
        <x:v>Permit_Approvals</x:v>
      </x:c>
      <x:c r="C195" s="33" t="str">
        <x:v>permit_id</x:v>
      </x:c>
      <x:c r="D195" s="33" t="str">
        <x:v>id</x:v>
      </x:c>
      <x:c r="E195" s="34" t="b">
        <x:v>1</x:v>
      </x:c>
      <x:c r="F195" s="33" t="str">
        <x:v>FK -&gt; Permits.permit_id</x:v>
      </x:c>
      <x:c r="G195" s="50" t="str">
        <x:v>Parent permit</x:v>
      </x:c>
      <x:c r="H195" s="33" t="str">
        <x:v>PTW-2026-0412</x:v>
      </x:c>
      <x:c r="I195" s="50" t="str"/>
      <x:c r="J195" s="33" t="str">
        <x:v>INTERNAL_SAMPLE</x:v>
      </x:c>
      <x:c r="K195" s="33" t="str">
        <x:v>Member 1</x:v>
      </x:c>
    </x:row>
    <x:row r="196" ht="24" customHeight="1">
      <x:c r="A196" s="33" t="str">
        <x:v>ESCA_HSE_02_Core_Operations_Sample_Data.xlsx</x:v>
      </x:c>
      <x:c r="B196" s="33" t="str">
        <x:v>Permit_Approvals</x:v>
      </x:c>
      <x:c r="C196" s="33" t="str">
        <x:v>step_no</x:v>
      </x:c>
      <x:c r="D196" s="33" t="str">
        <x:v>integer</x:v>
      </x:c>
      <x:c r="E196" s="34" t="b">
        <x:v>1</x:v>
      </x:c>
      <x:c r="F196" s="33" t="str"/>
      <x:c r="G196" s="50" t="str">
        <x:v>Approval order</x:v>
      </x:c>
      <x:c r="H196" s="33" t="str">
        <x:v>1</x:v>
      </x:c>
      <x:c r="I196" s="50" t="str"/>
      <x:c r="J196" s="33" t="str">
        <x:v>INTERNAL_SAMPLE</x:v>
      </x:c>
      <x:c r="K196" s="33" t="str">
        <x:v>Member 1</x:v>
      </x:c>
    </x:row>
    <x:row r="197" ht="24" customHeight="1">
      <x:c r="A197" s="33" t="str">
        <x:v>ESCA_HSE_02_Core_Operations_Sample_Data.xlsx</x:v>
      </x:c>
      <x:c r="B197" s="33" t="str">
        <x:v>Permit_Approvals</x:v>
      </x:c>
      <x:c r="C197" s="33" t="str">
        <x:v>approver_role</x:v>
      </x:c>
      <x:c r="D197" s="33" t="str">
        <x:v>enum</x:v>
      </x:c>
      <x:c r="E197" s="34" t="b">
        <x:v>1</x:v>
      </x:c>
      <x:c r="F197" s="33" t="str"/>
      <x:c r="G197" s="50" t="str">
        <x:v>Required role</x:v>
      </x:c>
      <x:c r="H197" s="33" t="str">
        <x:v>REQUESTER</x:v>
      </x:c>
      <x:c r="I197" s="50" t="str">
        <x:v>REQUESTER | AREA_SUPERVISOR | HSE_OFFICER | HSE_MANAGER</x:v>
      </x:c>
      <x:c r="J197" s="33" t="str">
        <x:v>INTERNAL_SAMPLE</x:v>
      </x:c>
      <x:c r="K197" s="33" t="str">
        <x:v>Member 1</x:v>
      </x:c>
    </x:row>
    <x:row r="198" ht="24" customHeight="1">
      <x:c r="A198" s="33" t="str">
        <x:v>ESCA_HSE_02_Core_Operations_Sample_Data.xlsx</x:v>
      </x:c>
      <x:c r="B198" s="33" t="str">
        <x:v>Permit_Approvals</x:v>
      </x:c>
      <x:c r="C198" s="33" t="str">
        <x:v>approver_id</x:v>
      </x:c>
      <x:c r="D198" s="33" t="str">
        <x:v>id</x:v>
      </x:c>
      <x:c r="E198" s="34" t="b">
        <x:v>0</x:v>
      </x:c>
      <x:c r="F198" s="33" t="str">
        <x:v>FK -&gt; Employees.employee_id</x:v>
      </x:c>
      <x:c r="G198" s="50" t="str">
        <x:v>Approver</x:v>
      </x:c>
      <x:c r="H198" s="33" t="str">
        <x:v>EMP-021</x:v>
      </x:c>
      <x:c r="I198" s="50" t="str"/>
      <x:c r="J198" s="33" t="str">
        <x:v>INTERNAL_SAMPLE</x:v>
      </x:c>
      <x:c r="K198" s="33" t="str">
        <x:v>Member 1</x:v>
      </x:c>
    </x:row>
    <x:row r="199" ht="24" customHeight="1">
      <x:c r="A199" s="33" t="str">
        <x:v>ESCA_HSE_02_Core_Operations_Sample_Data.xlsx</x:v>
      </x:c>
      <x:c r="B199" s="33" t="str">
        <x:v>Permit_Approvals</x:v>
      </x:c>
      <x:c r="C199" s="33" t="str">
        <x:v>decision</x:v>
      </x:c>
      <x:c r="D199" s="33" t="str">
        <x:v>enum</x:v>
      </x:c>
      <x:c r="E199" s="34" t="b">
        <x:v>1</x:v>
      </x:c>
      <x:c r="F199" s="33" t="str"/>
      <x:c r="G199" s="50" t="str">
        <x:v>Decision</x:v>
      </x:c>
      <x:c r="H199" s="33" t="str">
        <x:v>APPROVED</x:v>
      </x:c>
      <x:c r="I199" s="50" t="str">
        <x:v>PENDING | APPROVED | REJECTED</x:v>
      </x:c>
      <x:c r="J199" s="33" t="str">
        <x:v>INTERNAL_SAMPLE</x:v>
      </x:c>
      <x:c r="K199" s="33" t="str">
        <x:v>Member 1</x:v>
      </x:c>
    </x:row>
    <x:row r="200" ht="24" customHeight="1">
      <x:c r="A200" s="33" t="str">
        <x:v>ESCA_HSE_02_Core_Operations_Sample_Data.xlsx</x:v>
      </x:c>
      <x:c r="B200" s="33" t="str">
        <x:v>Permit_Approvals</x:v>
      </x:c>
      <x:c r="C200" s="33" t="str">
        <x:v>decided_at</x:v>
      </x:c>
      <x:c r="D200" s="33" t="str">
        <x:v>datetime</x:v>
      </x:c>
      <x:c r="E200" s="34" t="b">
        <x:v>0</x:v>
      </x:c>
      <x:c r="F200" s="33" t="str"/>
      <x:c r="G200" s="50" t="str">
        <x:v>Decision timestamp</x:v>
      </x:c>
      <x:c r="H200" s="33" t="n">
        <x:v>46247.15625</x:v>
      </x:c>
      <x:c r="I200" s="50" t="str"/>
      <x:c r="J200" s="33" t="str">
        <x:v>INTERNAL_SAMPLE</x:v>
      </x:c>
      <x:c r="K200" s="33" t="str">
        <x:v>Member 1</x:v>
      </x:c>
    </x:row>
    <x:row r="201" ht="24" customHeight="1">
      <x:c r="A201" s="33" t="str">
        <x:v>ESCA_HSE_02_Core_Operations_Sample_Data.xlsx</x:v>
      </x:c>
      <x:c r="B201" s="33" t="str">
        <x:v>Permit_Approvals</x:v>
      </x:c>
      <x:c r="C201" s="33" t="str">
        <x:v>comments</x:v>
      </x:c>
      <x:c r="D201" s="33" t="str">
        <x:v>long_text</x:v>
      </x:c>
      <x:c r="E201" s="34" t="b">
        <x:v>1</x:v>
      </x:c>
      <x:c r="F201" s="33" t="str"/>
      <x:c r="G201" s="50" t="str">
        <x:v>Approval comments</x:v>
      </x:c>
      <x:c r="H201" s="33" t="str">
        <x:v>Checklist reviewed</x:v>
      </x:c>
      <x:c r="I201" s="50" t="str"/>
      <x:c r="J201" s="33" t="str">
        <x:v>INTERNAL_SAMPLE</x:v>
      </x:c>
      <x:c r="K201" s="33" t="str">
        <x:v>Member 1</x:v>
      </x:c>
    </x:row>
    <x:row r="202" ht="24" customHeight="1">
      <x:c r="A202" s="33" t="str">
        <x:v>ESCA_HSE_02_Core_Operations_Sample_Data.xlsx</x:v>
      </x:c>
      <x:c r="B202" s="33" t="str">
        <x:v>Permit_Approvals</x:v>
      </x:c>
      <x:c r="C202" s="33" t="str">
        <x:v>signature_hash</x:v>
      </x:c>
      <x:c r="D202" s="33" t="str">
        <x:v>text</x:v>
      </x:c>
      <x:c r="E202" s="34" t="b">
        <x:v>0</x:v>
      </x:c>
      <x:c r="F202" s="33" t="str"/>
      <x:c r="G202" s="50" t="str">
        <x:v>Synthetic signature hash</x:v>
      </x:c>
      <x:c r="H202" s="33" t="str">
        <x:v>sha256-demo-PTW-2026-0412-1</x:v>
      </x:c>
      <x:c r="I202" s="50" t="str"/>
      <x:c r="J202" s="33" t="str">
        <x:v>INTERNAL_SAMPLE</x:v>
      </x:c>
      <x:c r="K202" s="33" t="str">
        <x:v>Member 1</x:v>
      </x:c>
    </x:row>
    <x:row r="203" ht="24" customHeight="1">
      <x:c r="A203" s="33" t="str">
        <x:v>ESCA_HSE_02_Core_Operations_Sample_Data.xlsx</x:v>
      </x:c>
      <x:c r="B203" s="33" t="str">
        <x:v>Permit_Approvals</x:v>
      </x:c>
      <x:c r="C203" s="33" t="str">
        <x:v>status</x:v>
      </x:c>
      <x:c r="D203" s="33" t="str">
        <x:v>enum</x:v>
      </x:c>
      <x:c r="E203" s="34" t="b">
        <x:v>1</x:v>
      </x:c>
      <x:c r="F203" s="33" t="str"/>
      <x:c r="G203" s="50" t="str">
        <x:v>Step status</x:v>
      </x:c>
      <x:c r="H203" s="33" t="str">
        <x:v>COMPLETED</x:v>
      </x:c>
      <x:c r="I203" s="50" t="str">
        <x:v>PENDING | COMPLETED | SKIPPED</x:v>
      </x:c>
      <x:c r="J203" s="33" t="str">
        <x:v>INTERNAL_SAMPLE</x:v>
      </x:c>
      <x:c r="K203" s="33" t="str">
        <x:v>Member 1</x:v>
      </x:c>
    </x:row>
    <x:row r="204" ht="24" customHeight="1">
      <x:c r="A204" s="33" t="str">
        <x:v>ESCA_HSE_02_Core_Operations_Sample_Data.xlsx</x:v>
      </x:c>
      <x:c r="B204" s="33" t="str">
        <x:v>Permit_Checklist</x:v>
      </x:c>
      <x:c r="C204" s="33" t="str">
        <x:v>checklist_id</x:v>
      </x:c>
      <x:c r="D204" s="33" t="str">
        <x:v>id</x:v>
      </x:c>
      <x:c r="E204" s="34" t="b">
        <x:v>1</x:v>
      </x:c>
      <x:c r="F204" s="33" t="str">
        <x:v>PK</x:v>
      </x:c>
      <x:c r="G204" s="50" t="str">
        <x:v>Permit checklist response</x:v>
      </x:c>
      <x:c r="H204" s="33" t="str">
        <x:v>PCHK-0001</x:v>
      </x:c>
      <x:c r="I204" s="50" t="str"/>
      <x:c r="J204" s="33" t="str">
        <x:v>INTERNAL_SAMPLE</x:v>
      </x:c>
      <x:c r="K204" s="33" t="str">
        <x:v>Member 1 + Member 3</x:v>
      </x:c>
    </x:row>
    <x:row r="205" ht="24" customHeight="1">
      <x:c r="A205" s="33" t="str">
        <x:v>ESCA_HSE_02_Core_Operations_Sample_Data.xlsx</x:v>
      </x:c>
      <x:c r="B205" s="33" t="str">
        <x:v>Permit_Checklist</x:v>
      </x:c>
      <x:c r="C205" s="33" t="str">
        <x:v>permit_id</x:v>
      </x:c>
      <x:c r="D205" s="33" t="str">
        <x:v>id</x:v>
      </x:c>
      <x:c r="E205" s="34" t="b">
        <x:v>1</x:v>
      </x:c>
      <x:c r="F205" s="33" t="str">
        <x:v>FK -&gt; Permits.permit_id</x:v>
      </x:c>
      <x:c r="G205" s="50" t="str">
        <x:v>Parent permit</x:v>
      </x:c>
      <x:c r="H205" s="33" t="str">
        <x:v>PTW-2026-0412</x:v>
      </x:c>
      <x:c r="I205" s="50" t="str"/>
      <x:c r="J205" s="33" t="str">
        <x:v>INTERNAL_SAMPLE</x:v>
      </x:c>
      <x:c r="K205" s="33" t="str">
        <x:v>Member 1 + Member 3</x:v>
      </x:c>
    </x:row>
    <x:row r="206" ht="24" customHeight="1">
      <x:c r="A206" s="33" t="str">
        <x:v>ESCA_HSE_02_Core_Operations_Sample_Data.xlsx</x:v>
      </x:c>
      <x:c r="B206" s="33" t="str">
        <x:v>Permit_Checklist</x:v>
      </x:c>
      <x:c r="C206" s="33" t="str">
        <x:v>item_code</x:v>
      </x:c>
      <x:c r="D206" s="33" t="str">
        <x:v>text</x:v>
      </x:c>
      <x:c r="E206" s="34" t="b">
        <x:v>1</x:v>
      </x:c>
      <x:c r="F206" s="33" t="str"/>
      <x:c r="G206" s="50" t="str">
        <x:v>Checklist item code</x:v>
      </x:c>
      <x:c r="H206" s="33" t="str">
        <x:v>JSA_ATTACHED</x:v>
      </x:c>
      <x:c r="I206" s="50" t="str"/>
      <x:c r="J206" s="33" t="str">
        <x:v>INTERNAL_SAMPLE</x:v>
      </x:c>
      <x:c r="K206" s="33" t="str">
        <x:v>Member 1 + Member 3</x:v>
      </x:c>
    </x:row>
    <x:row r="207" ht="24" customHeight="1">
      <x:c r="A207" s="33" t="str">
        <x:v>ESCA_HSE_02_Core_Operations_Sample_Data.xlsx</x:v>
      </x:c>
      <x:c r="B207" s="33" t="str">
        <x:v>Permit_Checklist</x:v>
      </x:c>
      <x:c r="C207" s="33" t="str">
        <x:v>item_text</x:v>
      </x:c>
      <x:c r="D207" s="33" t="str">
        <x:v>long_text</x:v>
      </x:c>
      <x:c r="E207" s="34" t="b">
        <x:v>1</x:v>
      </x:c>
      <x:c r="F207" s="33" t="str"/>
      <x:c r="G207" s="50" t="str">
        <x:v>Verification item</x:v>
      </x:c>
      <x:c r="H207" s="33" t="str">
        <x:v>Approved JSA is attached</x:v>
      </x:c>
      <x:c r="I207" s="50" t="str"/>
      <x:c r="J207" s="33" t="str">
        <x:v>INTERNAL_SAMPLE</x:v>
      </x:c>
      <x:c r="K207" s="33" t="str">
        <x:v>Member 1 + Member 3</x:v>
      </x:c>
    </x:row>
    <x:row r="208" ht="24" customHeight="1">
      <x:c r="A208" s="33" t="str">
        <x:v>ESCA_HSE_02_Core_Operations_Sample_Data.xlsx</x:v>
      </x:c>
      <x:c r="B208" s="33" t="str">
        <x:v>Permit_Checklist</x:v>
      </x:c>
      <x:c r="C208" s="33" t="str">
        <x:v>response</x:v>
      </x:c>
      <x:c r="D208" s="33" t="str">
        <x:v>enum</x:v>
      </x:c>
      <x:c r="E208" s="34" t="b">
        <x:v>1</x:v>
      </x:c>
      <x:c r="F208" s="33" t="str"/>
      <x:c r="G208" s="50" t="str">
        <x:v>Response</x:v>
      </x:c>
      <x:c r="H208" s="33" t="str">
        <x:v>YES</x:v>
      </x:c>
      <x:c r="I208" s="50" t="str">
        <x:v>YES | NO | NA | NOT_CHECKED</x:v>
      </x:c>
      <x:c r="J208" s="33" t="str">
        <x:v>INTERNAL_SAMPLE</x:v>
      </x:c>
      <x:c r="K208" s="33" t="str">
        <x:v>Member 1 + Member 3</x:v>
      </x:c>
    </x:row>
    <x:row r="209" ht="24" customHeight="1">
      <x:c r="A209" s="33" t="str">
        <x:v>ESCA_HSE_02_Core_Operations_Sample_Data.xlsx</x:v>
      </x:c>
      <x:c r="B209" s="33" t="str">
        <x:v>Permit_Checklist</x:v>
      </x:c>
      <x:c r="C209" s="33" t="str">
        <x:v>mandatory_flag</x:v>
      </x:c>
      <x:c r="D209" s="33" t="str">
        <x:v>boolean</x:v>
      </x:c>
      <x:c r="E209" s="34" t="b">
        <x:v>1</x:v>
      </x:c>
      <x:c r="F209" s="33" t="str"/>
      <x:c r="G209" s="50" t="str">
        <x:v>Mandatory before activation</x:v>
      </x:c>
      <x:c r="H209" s="33" t="str">
        <x:v>true</x:v>
      </x:c>
      <x:c r="I209" s="50" t="str"/>
      <x:c r="J209" s="33" t="str">
        <x:v>INTERNAL_SAMPLE</x:v>
      </x:c>
      <x:c r="K209" s="33" t="str">
        <x:v>Member 1 + Member 3</x:v>
      </x:c>
    </x:row>
    <x:row r="210" ht="24" customHeight="1">
      <x:c r="A210" s="33" t="str">
        <x:v>ESCA_HSE_02_Core_Operations_Sample_Data.xlsx</x:v>
      </x:c>
      <x:c r="B210" s="33" t="str">
        <x:v>Permit_Checklist</x:v>
      </x:c>
      <x:c r="C210" s="33" t="str">
        <x:v>verified_by</x:v>
      </x:c>
      <x:c r="D210" s="33" t="str">
        <x:v>id</x:v>
      </x:c>
      <x:c r="E210" s="34" t="b">
        <x:v>0</x:v>
      </x:c>
      <x:c r="F210" s="33" t="str">
        <x:v>FK -&gt; Employees.employee_id</x:v>
      </x:c>
      <x:c r="G210" s="50" t="str">
        <x:v>Verifier</x:v>
      </x:c>
      <x:c r="H210" s="33" t="str">
        <x:v>EMP-010</x:v>
      </x:c>
      <x:c r="I210" s="50" t="str"/>
      <x:c r="J210" s="33" t="str">
        <x:v>INTERNAL_SAMPLE</x:v>
      </x:c>
      <x:c r="K210" s="33" t="str">
        <x:v>Member 1 + Member 3</x:v>
      </x:c>
    </x:row>
    <x:row r="211" ht="24" customHeight="1">
      <x:c r="A211" s="33" t="str">
        <x:v>ESCA_HSE_02_Core_Operations_Sample_Data.xlsx</x:v>
      </x:c>
      <x:c r="B211" s="33" t="str">
        <x:v>Permit_Checklist</x:v>
      </x:c>
      <x:c r="C211" s="33" t="str">
        <x:v>verified_at</x:v>
      </x:c>
      <x:c r="D211" s="33" t="str">
        <x:v>datetime</x:v>
      </x:c>
      <x:c r="E211" s="34" t="b">
        <x:v>0</x:v>
      </x:c>
      <x:c r="F211" s="33" t="str"/>
      <x:c r="G211" s="50" t="str">
        <x:v>Verification timestamp</x:v>
      </x:c>
      <x:c r="H211" s="33" t="n">
        <x:v>46247.18402777778</x:v>
      </x:c>
      <x:c r="I211" s="50" t="str"/>
      <x:c r="J211" s="33" t="str">
        <x:v>INTERNAL_SAMPLE</x:v>
      </x:c>
      <x:c r="K211" s="33" t="str">
        <x:v>Member 1 + Member 3</x:v>
      </x:c>
    </x:row>
    <x:row r="212" ht="24" customHeight="1">
      <x:c r="A212" s="33" t="str">
        <x:v>ESCA_HSE_02_Core_Operations_Sample_Data.xlsx</x:v>
      </x:c>
      <x:c r="B212" s="33" t="str">
        <x:v>Permit_Checklist</x:v>
      </x:c>
      <x:c r="C212" s="33" t="str">
        <x:v>evidence_ref</x:v>
      </x:c>
      <x:c r="D212" s="33" t="str">
        <x:v>text</x:v>
      </x:c>
      <x:c r="E212" s="34" t="b">
        <x:v>0</x:v>
      </x:c>
      <x:c r="F212" s="33" t="str"/>
      <x:c r="G212" s="50" t="str">
        <x:v>Synthetic evidence reference</x:v>
      </x:c>
      <x:c r="H212" s="33" t="str"/>
      <x:c r="I212" s="50" t="str"/>
      <x:c r="J212" s="33" t="str">
        <x:v>INTERNAL_SAMPLE</x:v>
      </x:c>
      <x:c r="K212" s="33" t="str">
        <x:v>Member 1 + Member 3</x:v>
      </x:c>
    </x:row>
    <x:row r="213" ht="24" customHeight="1">
      <x:c r="A213" s="33" t="str">
        <x:v>ESCA_HSE_02_Core_Operations_Sample_Data.xlsx</x:v>
      </x:c>
      <x:c r="B213" s="33" t="str">
        <x:v>Permit_Gas_Tests</x:v>
      </x:c>
      <x:c r="C213" s="33" t="str">
        <x:v>gas_test_id</x:v>
      </x:c>
      <x:c r="D213" s="33" t="str">
        <x:v>id</x:v>
      </x:c>
      <x:c r="E213" s="34" t="b">
        <x:v>1</x:v>
      </x:c>
      <x:c r="F213" s="33" t="str">
        <x:v>PK</x:v>
      </x:c>
      <x:c r="G213" s="50" t="str">
        <x:v>Gas-test identifier</x:v>
      </x:c>
      <x:c r="H213" s="33" t="str">
        <x:v>GAS-001</x:v>
      </x:c>
      <x:c r="I213" s="50" t="str"/>
      <x:c r="J213" s="33" t="str">
        <x:v>INTERNAL_SAMPLE</x:v>
      </x:c>
      <x:c r="K213" s="33" t="str">
        <x:v>Member 1 + Member 3</x:v>
      </x:c>
    </x:row>
    <x:row r="214" ht="24" customHeight="1">
      <x:c r="A214" s="33" t="str">
        <x:v>ESCA_HSE_02_Core_Operations_Sample_Data.xlsx</x:v>
      </x:c>
      <x:c r="B214" s="33" t="str">
        <x:v>Permit_Gas_Tests</x:v>
      </x:c>
      <x:c r="C214" s="33" t="str">
        <x:v>permit_id</x:v>
      </x:c>
      <x:c r="D214" s="33" t="str">
        <x:v>id</x:v>
      </x:c>
      <x:c r="E214" s="34" t="b">
        <x:v>1</x:v>
      </x:c>
      <x:c r="F214" s="33" t="str">
        <x:v>FK -&gt; Permits.permit_id</x:v>
      </x:c>
      <x:c r="G214" s="50" t="str">
        <x:v>Confined-space permit</x:v>
      </x:c>
      <x:c r="H214" s="33" t="str">
        <x:v>PTW-2026-0409</x:v>
      </x:c>
      <x:c r="I214" s="50" t="str"/>
      <x:c r="J214" s="33" t="str">
        <x:v>INTERNAL_SAMPLE</x:v>
      </x:c>
      <x:c r="K214" s="33" t="str">
        <x:v>Member 1 + Member 3</x:v>
      </x:c>
    </x:row>
    <x:row r="215" ht="24" customHeight="1">
      <x:c r="A215" s="33" t="str">
        <x:v>ESCA_HSE_02_Core_Operations_Sample_Data.xlsx</x:v>
      </x:c>
      <x:c r="B215" s="33" t="str">
        <x:v>Permit_Gas_Tests</x:v>
      </x:c>
      <x:c r="C215" s="33" t="str">
        <x:v>tested_at</x:v>
      </x:c>
      <x:c r="D215" s="33" t="str">
        <x:v>datetime</x:v>
      </x:c>
      <x:c r="E215" s="34" t="b">
        <x:v>1</x:v>
      </x:c>
      <x:c r="F215" s="33" t="str"/>
      <x:c r="G215" s="50" t="str">
        <x:v>Test timestamp</x:v>
      </x:c>
      <x:c r="H215" s="33" t="n">
        <x:v>46247.118055555555</x:v>
      </x:c>
      <x:c r="I215" s="50" t="str"/>
      <x:c r="J215" s="33" t="str">
        <x:v>INTERNAL_SAMPLE</x:v>
      </x:c>
      <x:c r="K215" s="33" t="str">
        <x:v>Member 1 + Member 3</x:v>
      </x:c>
    </x:row>
    <x:row r="216" ht="24" customHeight="1">
      <x:c r="A216" s="33" t="str">
        <x:v>ESCA_HSE_02_Core_Operations_Sample_Data.xlsx</x:v>
      </x:c>
      <x:c r="B216" s="33" t="str">
        <x:v>Permit_Gas_Tests</x:v>
      </x:c>
      <x:c r="C216" s="33" t="str">
        <x:v>tester_id</x:v>
      </x:c>
      <x:c r="D216" s="33" t="str">
        <x:v>id</x:v>
      </x:c>
      <x:c r="E216" s="34" t="b">
        <x:v>1</x:v>
      </x:c>
      <x:c r="F216" s="33" t="str">
        <x:v>FK -&gt; Employees.employee_id</x:v>
      </x:c>
      <x:c r="G216" s="50" t="str">
        <x:v>Authorized tester</x:v>
      </x:c>
      <x:c r="H216" s="33" t="str">
        <x:v>EMP-027</x:v>
      </x:c>
      <x:c r="I216" s="50" t="str"/>
      <x:c r="J216" s="33" t="str">
        <x:v>INTERNAL_SAMPLE</x:v>
      </x:c>
      <x:c r="K216" s="33" t="str">
        <x:v>Member 1 + Member 3</x:v>
      </x:c>
    </x:row>
    <x:row r="217" ht="24" customHeight="1">
      <x:c r="A217" s="33" t="str">
        <x:v>ESCA_HSE_02_Core_Operations_Sample_Data.xlsx</x:v>
      </x:c>
      <x:c r="B217" s="33" t="str">
        <x:v>Permit_Gas_Tests</x:v>
      </x:c>
      <x:c r="C217" s="33" t="str">
        <x:v>oxygen_pct</x:v>
      </x:c>
      <x:c r="D217" s="33" t="str">
        <x:v>decimal</x:v>
      </x:c>
      <x:c r="E217" s="34" t="b">
        <x:v>1</x:v>
      </x:c>
      <x:c r="F217" s="33" t="str"/>
      <x:c r="G217" s="50" t="str">
        <x:v>Oxygen concentration percent</x:v>
      </x:c>
      <x:c r="H217" s="33" t="str">
        <x:v>20.9</x:v>
      </x:c>
      <x:c r="I217" s="50" t="str"/>
      <x:c r="J217" s="33" t="str">
        <x:v>INTERNAL_SAMPLE</x:v>
      </x:c>
      <x:c r="K217" s="33" t="str">
        <x:v>Member 1 + Member 3</x:v>
      </x:c>
    </x:row>
    <x:row r="218" ht="24" customHeight="1">
      <x:c r="A218" s="33" t="str">
        <x:v>ESCA_HSE_02_Core_Operations_Sample_Data.xlsx</x:v>
      </x:c>
      <x:c r="B218" s="33" t="str">
        <x:v>Permit_Gas_Tests</x:v>
      </x:c>
      <x:c r="C218" s="33" t="str">
        <x:v>lel_pct</x:v>
      </x:c>
      <x:c r="D218" s="33" t="str">
        <x:v>decimal</x:v>
      </x:c>
      <x:c r="E218" s="34" t="b">
        <x:v>1</x:v>
      </x:c>
      <x:c r="F218" s="33" t="str"/>
      <x:c r="G218" s="50" t="str">
        <x:v>Combustible gas percent LEL</x:v>
      </x:c>
      <x:c r="H218" s="33" t="str">
        <x:v>0</x:v>
      </x:c>
      <x:c r="I218" s="50" t="str"/>
      <x:c r="J218" s="33" t="str">
        <x:v>INTERNAL_SAMPLE</x:v>
      </x:c>
      <x:c r="K218" s="33" t="str">
        <x:v>Member 1 + Member 3</x:v>
      </x:c>
    </x:row>
    <x:row r="219" ht="24" customHeight="1">
      <x:c r="A219" s="33" t="str">
        <x:v>ESCA_HSE_02_Core_Operations_Sample_Data.xlsx</x:v>
      </x:c>
      <x:c r="B219" s="33" t="str">
        <x:v>Permit_Gas_Tests</x:v>
      </x:c>
      <x:c r="C219" s="33" t="str">
        <x:v>h2s_ppm</x:v>
      </x:c>
      <x:c r="D219" s="33" t="str">
        <x:v>decimal</x:v>
      </x:c>
      <x:c r="E219" s="34" t="b">
        <x:v>1</x:v>
      </x:c>
      <x:c r="F219" s="33" t="str"/>
      <x:c r="G219" s="50" t="str">
        <x:v>Hydrogen sulfide ppm</x:v>
      </x:c>
      <x:c r="H219" s="33" t="str">
        <x:v>0</x:v>
      </x:c>
      <x:c r="I219" s="50" t="str"/>
      <x:c r="J219" s="33" t="str">
        <x:v>INTERNAL_SAMPLE</x:v>
      </x:c>
      <x:c r="K219" s="33" t="str">
        <x:v>Member 1 + Member 3</x:v>
      </x:c>
    </x:row>
    <x:row r="220" ht="24" customHeight="1">
      <x:c r="A220" s="33" t="str">
        <x:v>ESCA_HSE_02_Core_Operations_Sample_Data.xlsx</x:v>
      </x:c>
      <x:c r="B220" s="33" t="str">
        <x:v>Permit_Gas_Tests</x:v>
      </x:c>
      <x:c r="C220" s="33" t="str">
        <x:v>co_ppm</x:v>
      </x:c>
      <x:c r="D220" s="33" t="str">
        <x:v>decimal</x:v>
      </x:c>
      <x:c r="E220" s="34" t="b">
        <x:v>1</x:v>
      </x:c>
      <x:c r="F220" s="33" t="str"/>
      <x:c r="G220" s="50" t="str">
        <x:v>Carbon monoxide ppm</x:v>
      </x:c>
      <x:c r="H220" s="33" t="str">
        <x:v>3</x:v>
      </x:c>
      <x:c r="I220" s="50" t="str"/>
      <x:c r="J220" s="33" t="str">
        <x:v>INTERNAL_SAMPLE</x:v>
      </x:c>
      <x:c r="K220" s="33" t="str">
        <x:v>Member 1 + Member 3</x:v>
      </x:c>
    </x:row>
    <x:row r="221" ht="24" customHeight="1">
      <x:c r="A221" s="33" t="str">
        <x:v>ESCA_HSE_02_Core_Operations_Sample_Data.xlsx</x:v>
      </x:c>
      <x:c r="B221" s="33" t="str">
        <x:v>Permit_Gas_Tests</x:v>
      </x:c>
      <x:c r="C221" s="33" t="str">
        <x:v>result</x:v>
      </x:c>
      <x:c r="D221" s="33" t="str">
        <x:v>enum</x:v>
      </x:c>
      <x:c r="E221" s="34" t="b">
        <x:v>1</x:v>
      </x:c>
      <x:c r="F221" s="33" t="str"/>
      <x:c r="G221" s="50" t="str">
        <x:v>Gas-test decision</x:v>
      </x:c>
      <x:c r="H221" s="33" t="str">
        <x:v>PASS</x:v>
      </x:c>
      <x:c r="I221" s="50" t="str">
        <x:v>PASS | WARNING | FAIL</x:v>
      </x:c>
      <x:c r="J221" s="33" t="str">
        <x:v>INTERNAL_SAMPLE</x:v>
      </x:c>
      <x:c r="K221" s="33" t="str">
        <x:v>Member 1 + Member 3</x:v>
      </x:c>
    </x:row>
    <x:row r="222" ht="24" customHeight="1">
      <x:c r="A222" s="33" t="str">
        <x:v>ESCA_HSE_02_Core_Operations_Sample_Data.xlsx</x:v>
      </x:c>
      <x:c r="B222" s="33" t="str">
        <x:v>Permit_Gas_Tests</x:v>
      </x:c>
      <x:c r="C222" s="33" t="str">
        <x:v>action_taken</x:v>
      </x:c>
      <x:c r="D222" s="33" t="str">
        <x:v>long_text</x:v>
      </x:c>
      <x:c r="E222" s="34" t="b">
        <x:v>1</x:v>
      </x:c>
      <x:c r="F222" s="33" t="str"/>
      <x:c r="G222" s="50" t="str">
        <x:v>Resulting action</x:v>
      </x:c>
      <x:c r="H222" s="33" t="str">
        <x:v>Permit activated</x:v>
      </x:c>
      <x:c r="I222" s="50" t="str"/>
      <x:c r="J222" s="33" t="str">
        <x:v>INTERNAL_SAMPLE</x:v>
      </x:c>
      <x:c r="K222" s="33" t="str">
        <x:v>Member 1 + Member 3</x:v>
      </x:c>
    </x:row>
    <x:row r="223" ht="24" customHeight="1">
      <x:c r="A223" s="33" t="str">
        <x:v>ESCA_HSE_02_Core_Operations_Sample_Data.xlsx</x:v>
      </x:c>
      <x:c r="B223" s="33" t="str">
        <x:v>SIMOPS</x:v>
      </x:c>
      <x:c r="C223" s="33" t="str">
        <x:v>simops_id</x:v>
      </x:c>
      <x:c r="D223" s="33" t="str">
        <x:v>id</x:v>
      </x:c>
      <x:c r="E223" s="34" t="b">
        <x:v>1</x:v>
      </x:c>
      <x:c r="F223" s="33" t="str">
        <x:v>PK</x:v>
      </x:c>
      <x:c r="G223" s="50" t="str">
        <x:v>Unique SIMOPS result</x:v>
      </x:c>
      <x:c r="H223" s="33" t="str">
        <x:v>SIM-001</x:v>
      </x:c>
      <x:c r="I223" s="50" t="str"/>
      <x:c r="J223" s="33" t="str">
        <x:v>INTERNAL_SAMPLE</x:v>
      </x:c>
      <x:c r="K223" s="33" t="str">
        <x:v>Member 1</x:v>
      </x:c>
    </x:row>
    <x:row r="224" ht="24" customHeight="1">
      <x:c r="A224" s="33" t="str">
        <x:v>ESCA_HSE_02_Core_Operations_Sample_Data.xlsx</x:v>
      </x:c>
      <x:c r="B224" s="33" t="str">
        <x:v>SIMOPS</x:v>
      </x:c>
      <x:c r="C224" s="33" t="str">
        <x:v>permit_a_id</x:v>
      </x:c>
      <x:c r="D224" s="33" t="str">
        <x:v>id</x:v>
      </x:c>
      <x:c r="E224" s="34" t="b">
        <x:v>1</x:v>
      </x:c>
      <x:c r="F224" s="33" t="str">
        <x:v>FK -&gt; Permits.permit_id</x:v>
      </x:c>
      <x:c r="G224" s="50" t="str">
        <x:v>First permit</x:v>
      </x:c>
      <x:c r="H224" s="33" t="str">
        <x:v>PTW-2026-0412</x:v>
      </x:c>
      <x:c r="I224" s="50" t="str"/>
      <x:c r="J224" s="33" t="str">
        <x:v>INTERNAL_SAMPLE</x:v>
      </x:c>
      <x:c r="K224" s="33" t="str">
        <x:v>Member 1</x:v>
      </x:c>
    </x:row>
    <x:row r="225" ht="24" customHeight="1">
      <x:c r="A225" s="33" t="str">
        <x:v>ESCA_HSE_02_Core_Operations_Sample_Data.xlsx</x:v>
      </x:c>
      <x:c r="B225" s="33" t="str">
        <x:v>SIMOPS</x:v>
      </x:c>
      <x:c r="C225" s="33" t="str">
        <x:v>permit_b_id</x:v>
      </x:c>
      <x:c r="D225" s="33" t="str">
        <x:v>id</x:v>
      </x:c>
      <x:c r="E225" s="34" t="b">
        <x:v>1</x:v>
      </x:c>
      <x:c r="F225" s="33" t="str">
        <x:v>FK -&gt; Permits.permit_id</x:v>
      </x:c>
      <x:c r="G225" s="50" t="str">
        <x:v>Second permit</x:v>
      </x:c>
      <x:c r="H225" s="33" t="str">
        <x:v>PTW-2026-0403</x:v>
      </x:c>
      <x:c r="I225" s="50" t="str"/>
      <x:c r="J225" s="33" t="str">
        <x:v>INTERNAL_SAMPLE</x:v>
      </x:c>
      <x:c r="K225" s="33" t="str">
        <x:v>Member 1</x:v>
      </x:c>
    </x:row>
    <x:row r="226" ht="24" customHeight="1">
      <x:c r="A226" s="33" t="str">
        <x:v>ESCA_HSE_02_Core_Operations_Sample_Data.xlsx</x:v>
      </x:c>
      <x:c r="B226" s="33" t="str">
        <x:v>SIMOPS</x:v>
      </x:c>
      <x:c r="C226" s="33" t="str">
        <x:v>zone_id</x:v>
      </x:c>
      <x:c r="D226" s="33" t="str">
        <x:v>id</x:v>
      </x:c>
      <x:c r="E226" s="34" t="b">
        <x:v>1</x:v>
      </x:c>
      <x:c r="F226" s="33" t="str">
        <x:v>FK -&gt; Zones.zone_id</x:v>
      </x:c>
      <x:c r="G226" s="50" t="str">
        <x:v>Conflict zone</x:v>
      </x:c>
      <x:c r="H226" s="33" t="str">
        <x:v>ZN-M01</x:v>
      </x:c>
      <x:c r="I226" s="50" t="str"/>
      <x:c r="J226" s="33" t="str">
        <x:v>INTERNAL_SAMPLE</x:v>
      </x:c>
      <x:c r="K226" s="33" t="str">
        <x:v>Member 1</x:v>
      </x:c>
    </x:row>
    <x:row r="227" ht="24" customHeight="1">
      <x:c r="A227" s="33" t="str">
        <x:v>ESCA_HSE_02_Core_Operations_Sample_Data.xlsx</x:v>
      </x:c>
      <x:c r="B227" s="33" t="str">
        <x:v>SIMOPS</x:v>
      </x:c>
      <x:c r="C227" s="33" t="str">
        <x:v>detected_at</x:v>
      </x:c>
      <x:c r="D227" s="33" t="str">
        <x:v>datetime</x:v>
      </x:c>
      <x:c r="E227" s="34" t="b">
        <x:v>1</x:v>
      </x:c>
      <x:c r="F227" s="33" t="str"/>
      <x:c r="G227" s="50" t="str">
        <x:v>Detection timestamp</x:v>
      </x:c>
      <x:c r="H227" s="33" t="n">
        <x:v>46247.2375</x:v>
      </x:c>
      <x:c r="I227" s="50" t="str"/>
      <x:c r="J227" s="33" t="str">
        <x:v>INTERNAL_SAMPLE</x:v>
      </x:c>
      <x:c r="K227" s="33" t="str">
        <x:v>Member 1</x:v>
      </x:c>
    </x:row>
    <x:row r="228" ht="24" customHeight="1">
      <x:c r="A228" s="33" t="str">
        <x:v>ESCA_HSE_02_Core_Operations_Sample_Data.xlsx</x:v>
      </x:c>
      <x:c r="B228" s="33" t="str">
        <x:v>SIMOPS</x:v>
      </x:c>
      <x:c r="C228" s="33" t="str">
        <x:v>conflict_type</x:v>
      </x:c>
      <x:c r="D228" s="33" t="str">
        <x:v>enum</x:v>
      </x:c>
      <x:c r="E228" s="34" t="b">
        <x:v>1</x:v>
      </x:c>
      <x:c r="F228" s="33" t="str"/>
      <x:c r="G228" s="50" t="str">
        <x:v>Conflict class</x:v>
      </x:c>
      <x:c r="H228" s="33" t="str">
        <x:v>HOT_WORK_FLAMMABLE</x:v>
      </x:c>
      <x:c r="I228" s="50" t="str"/>
      <x:c r="J228" s="33" t="str">
        <x:v>INTERNAL_SAMPLE</x:v>
      </x:c>
      <x:c r="K228" s="33" t="str">
        <x:v>Member 1</x:v>
      </x:c>
    </x:row>
    <x:row r="229" ht="24" customHeight="1">
      <x:c r="A229" s="33" t="str">
        <x:v>ESCA_HSE_02_Core_Operations_Sample_Data.xlsx</x:v>
      </x:c>
      <x:c r="B229" s="33" t="str">
        <x:v>SIMOPS</x:v>
      </x:c>
      <x:c r="C229" s="33" t="str">
        <x:v>distance_m</x:v>
      </x:c>
      <x:c r="D229" s="33" t="str">
        <x:v>decimal</x:v>
      </x:c>
      <x:c r="E229" s="34" t="b">
        <x:v>1</x:v>
      </x:c>
      <x:c r="F229" s="33" t="str"/>
      <x:c r="G229" s="50" t="str">
        <x:v>Distance in metres</x:v>
      </x:c>
      <x:c r="H229" s="33" t="str">
        <x:v>4.2</x:v>
      </x:c>
      <x:c r="I229" s="50" t="str"/>
      <x:c r="J229" s="33" t="str">
        <x:v>INTERNAL_SAMPLE</x:v>
      </x:c>
      <x:c r="K229" s="33" t="str">
        <x:v>Member 1</x:v>
      </x:c>
    </x:row>
    <x:row r="230" ht="24" customHeight="1">
      <x:c r="A230" s="33" t="str">
        <x:v>ESCA_HSE_02_Core_Operations_Sample_Data.xlsx</x:v>
      </x:c>
      <x:c r="B230" s="33" t="str">
        <x:v>SIMOPS</x:v>
      </x:c>
      <x:c r="C230" s="33" t="str">
        <x:v>rule_code</x:v>
      </x:c>
      <x:c r="D230" s="33" t="str">
        <x:v>text</x:v>
      </x:c>
      <x:c r="E230" s="34" t="b">
        <x:v>1</x:v>
      </x:c>
      <x:c r="F230" s="33" t="str"/>
      <x:c r="G230" s="50" t="str">
        <x:v>Rule identifier</x:v>
      </x:c>
      <x:c r="H230" s="33" t="str">
        <x:v>SIMOPS-HW-001</x:v>
      </x:c>
      <x:c r="I230" s="50" t="str"/>
      <x:c r="J230" s="33" t="str">
        <x:v>INTERNAL_SAMPLE</x:v>
      </x:c>
      <x:c r="K230" s="33" t="str">
        <x:v>Member 1</x:v>
      </x:c>
    </x:row>
    <x:row r="231" ht="24" customHeight="1">
      <x:c r="A231" s="33" t="str">
        <x:v>ESCA_HSE_02_Core_Operations_Sample_Data.xlsx</x:v>
      </x:c>
      <x:c r="B231" s="33" t="str">
        <x:v>SIMOPS</x:v>
      </x:c>
      <x:c r="C231" s="33" t="str">
        <x:v>decision</x:v>
      </x:c>
      <x:c r="D231" s="33" t="str">
        <x:v>enum</x:v>
      </x:c>
      <x:c r="E231" s="34" t="b">
        <x:v>1</x:v>
      </x:c>
      <x:c r="F231" s="33" t="str"/>
      <x:c r="G231" s="50" t="str">
        <x:v>Automated/reviewer decision</x:v>
      </x:c>
      <x:c r="H231" s="33" t="str">
        <x:v>BLOCK_PERMIT_B</x:v>
      </x:c>
      <x:c r="I231" s="50" t="str"/>
      <x:c r="J231" s="33" t="str">
        <x:v>INTERNAL_SAMPLE</x:v>
      </x:c>
      <x:c r="K231" s="33" t="str">
        <x:v>Member 1</x:v>
      </x:c>
    </x:row>
    <x:row r="232" ht="24" customHeight="1">
      <x:c r="A232" s="33" t="str">
        <x:v>ESCA_HSE_02_Core_Operations_Sample_Data.xlsx</x:v>
      </x:c>
      <x:c r="B232" s="33" t="str">
        <x:v>SIMOPS</x:v>
      </x:c>
      <x:c r="C232" s="33" t="str">
        <x:v>status</x:v>
      </x:c>
      <x:c r="D232" s="33" t="str">
        <x:v>enum</x:v>
      </x:c>
      <x:c r="E232" s="34" t="b">
        <x:v>1</x:v>
      </x:c>
      <x:c r="F232" s="33" t="str"/>
      <x:c r="G232" s="50" t="str">
        <x:v>Conflict status</x:v>
      </x:c>
      <x:c r="H232" s="33" t="str">
        <x:v>OPEN</x:v>
      </x:c>
      <x:c r="I232" s="50" t="str">
        <x:v>OPEN | RESOLVED | CLOSED</x:v>
      </x:c>
      <x:c r="J232" s="33" t="str">
        <x:v>INTERNAL_SAMPLE</x:v>
      </x:c>
      <x:c r="K232" s="33" t="str">
        <x:v>Member 1</x:v>
      </x:c>
    </x:row>
    <x:row r="233" ht="24" customHeight="1">
      <x:c r="A233" s="33" t="str">
        <x:v>ESCA_HSE_02_Core_Operations_Sample_Data.xlsx</x:v>
      </x:c>
      <x:c r="B233" s="33" t="str">
        <x:v>SIMOPS</x:v>
      </x:c>
      <x:c r="C233" s="33" t="str">
        <x:v>resolved_at</x:v>
      </x:c>
      <x:c r="D233" s="33" t="str">
        <x:v>datetime</x:v>
      </x:c>
      <x:c r="E233" s="34" t="b">
        <x:v>0</x:v>
      </x:c>
      <x:c r="F233" s="33" t="str"/>
      <x:c r="G233" s="50" t="str">
        <x:v>Resolution timestamp</x:v>
      </x:c>
      <x:c r="H233" s="33" t="n">
        <x:v>46247.22222222222</x:v>
      </x:c>
      <x:c r="I233" s="50" t="str"/>
      <x:c r="J233" s="33" t="str">
        <x:v>INTERNAL_SAMPLE</x:v>
      </x:c>
      <x:c r="K233" s="33" t="str">
        <x:v>Member 1</x:v>
      </x:c>
    </x:row>
    <x:row r="234" ht="24" customHeight="1">
      <x:c r="A234" s="33" t="str">
        <x:v>ESCA_HSE_02_Core_Operations_Sample_Data.xlsx</x:v>
      </x:c>
      <x:c r="B234" s="33" t="str">
        <x:v>Incident_RCA</x:v>
      </x:c>
      <x:c r="C234" s="33" t="str">
        <x:v>rca_id</x:v>
      </x:c>
      <x:c r="D234" s="33" t="str">
        <x:v>id</x:v>
      </x:c>
      <x:c r="E234" s="34" t="b">
        <x:v>1</x:v>
      </x:c>
      <x:c r="F234" s="33" t="str">
        <x:v>PK</x:v>
      </x:c>
      <x:c r="G234" s="50" t="str">
        <x:v>Root-cause analysis identifier</x:v>
      </x:c>
      <x:c r="H234" s="33" t="str">
        <x:v>RCA-001</x:v>
      </x:c>
      <x:c r="I234" s="50" t="str"/>
      <x:c r="J234" s="33" t="str">
        <x:v>INTERNAL_SAMPLE</x:v>
      </x:c>
      <x:c r="K234" s="33" t="str">
        <x:v>Member 1</x:v>
      </x:c>
    </x:row>
    <x:row r="235" ht="24" customHeight="1">
      <x:c r="A235" s="33" t="str">
        <x:v>ESCA_HSE_02_Core_Operations_Sample_Data.xlsx</x:v>
      </x:c>
      <x:c r="B235" s="33" t="str">
        <x:v>Incident_RCA</x:v>
      </x:c>
      <x:c r="C235" s="33" t="str">
        <x:v>incident_id</x:v>
      </x:c>
      <x:c r="D235" s="33" t="str">
        <x:v>id</x:v>
      </x:c>
      <x:c r="E235" s="34" t="b">
        <x:v>1</x:v>
      </x:c>
      <x:c r="F235" s="33" t="str">
        <x:v>FK -&gt; Incidents.incident_id</x:v>
      </x:c>
      <x:c r="G235" s="50" t="str">
        <x:v>Parent incident</x:v>
      </x:c>
      <x:c r="H235" s="33" t="str">
        <x:v>INC-2026-0089</x:v>
      </x:c>
      <x:c r="I235" s="50" t="str"/>
      <x:c r="J235" s="33" t="str">
        <x:v>INTERNAL_SAMPLE</x:v>
      </x:c>
      <x:c r="K235" s="33" t="str">
        <x:v>Member 1</x:v>
      </x:c>
    </x:row>
    <x:row r="236" ht="24" customHeight="1">
      <x:c r="A236" s="33" t="str">
        <x:v>ESCA_HSE_02_Core_Operations_Sample_Data.xlsx</x:v>
      </x:c>
      <x:c r="B236" s="33" t="str">
        <x:v>Incident_RCA</x:v>
      </x:c>
      <x:c r="C236" s="33" t="str">
        <x:v>method</x:v>
      </x:c>
      <x:c r="D236" s="33" t="str">
        <x:v>enum</x:v>
      </x:c>
      <x:c r="E236" s="34" t="b">
        <x:v>1</x:v>
      </x:c>
      <x:c r="F236" s="33" t="str"/>
      <x:c r="G236" s="50" t="str">
        <x:v>Analysis method</x:v>
      </x:c>
      <x:c r="H236" s="33" t="str">
        <x:v>FIVE_WHYS</x:v>
      </x:c>
      <x:c r="I236" s="50" t="str">
        <x:v>FIVE_WHYS | FISHBONE | TRIPOD</x:v>
      </x:c>
      <x:c r="J236" s="33" t="str">
        <x:v>INTERNAL_SAMPLE</x:v>
      </x:c>
      <x:c r="K236" s="33" t="str">
        <x:v>Member 1</x:v>
      </x:c>
    </x:row>
    <x:row r="237" ht="24" customHeight="1">
      <x:c r="A237" s="33" t="str">
        <x:v>ESCA_HSE_02_Core_Operations_Sample_Data.xlsx</x:v>
      </x:c>
      <x:c r="B237" s="33" t="str">
        <x:v>Incident_RCA</x:v>
      </x:c>
      <x:c r="C237" s="33" t="str">
        <x:v>problem_statement</x:v>
      </x:c>
      <x:c r="D237" s="33" t="str">
        <x:v>text</x:v>
      </x:c>
      <x:c r="E237" s="34" t="b">
        <x:v>1</x:v>
      </x:c>
      <x:c r="F237" s="33" t="str"/>
      <x:c r="G237" s="50" t="str">
        <x:v>Problem statement</x:v>
      </x:c>
      <x:c r="H237" s="33" t="str">
        <x:v>Hand cut during guard adjustment</x:v>
      </x:c>
      <x:c r="I237" s="50" t="str"/>
      <x:c r="J237" s="33" t="str">
        <x:v>INTERNAL_SAMPLE</x:v>
      </x:c>
      <x:c r="K237" s="33" t="str">
        <x:v>Member 1</x:v>
      </x:c>
    </x:row>
    <x:row r="238" ht="24" customHeight="1">
      <x:c r="A238" s="33" t="str">
        <x:v>ESCA_HSE_02_Core_Operations_Sample_Data.xlsx</x:v>
      </x:c>
      <x:c r="B238" s="33" t="str">
        <x:v>Incident_RCA</x:v>
      </x:c>
      <x:c r="C238" s="33" t="str">
        <x:v>primary_cause_category</x:v>
      </x:c>
      <x:c r="D238" s="33" t="str">
        <x:v>enum</x:v>
      </x:c>
      <x:c r="E238" s="34" t="b">
        <x:v>1</x:v>
      </x:c>
      <x:c r="F238" s="33" t="str"/>
      <x:c r="G238" s="50" t="str">
        <x:v>Primary cause category</x:v>
      </x:c>
      <x:c r="H238" s="33" t="str">
        <x:v>PROCEDURE</x:v>
      </x:c>
      <x:c r="I238" s="50" t="str"/>
      <x:c r="J238" s="33" t="str">
        <x:v>INTERNAL_SAMPLE</x:v>
      </x:c>
      <x:c r="K238" s="33" t="str">
        <x:v>Member 1</x:v>
      </x:c>
    </x:row>
    <x:row r="239" ht="24" customHeight="1">
      <x:c r="A239" s="33" t="str">
        <x:v>ESCA_HSE_02_Core_Operations_Sample_Data.xlsx</x:v>
      </x:c>
      <x:c r="B239" s="33" t="str">
        <x:v>Incident_RCA</x:v>
      </x:c>
      <x:c r="C239" s="33" t="str">
        <x:v>root_cause</x:v>
      </x:c>
      <x:c r="D239" s="33" t="str">
        <x:v>long_text</x:v>
      </x:c>
      <x:c r="E239" s="34" t="b">
        <x:v>1</x:v>
      </x:c>
      <x:c r="F239" s="33" t="str"/>
      <x:c r="G239" s="50" t="str">
        <x:v>Synthetic root-cause conclusion</x:v>
      </x:c>
      <x:c r="H239" s="33" t="str">
        <x:v>Task-specific procedure and tool-selection control were incomplete.</x:v>
      </x:c>
      <x:c r="I239" s="50" t="str"/>
      <x:c r="J239" s="33" t="str">
        <x:v>INTERNAL_SAMPLE</x:v>
      </x:c>
      <x:c r="K239" s="33" t="str">
        <x:v>Member 1</x:v>
      </x:c>
    </x:row>
    <x:row r="240" ht="24" customHeight="1">
      <x:c r="A240" s="33" t="str">
        <x:v>ESCA_HSE_02_Core_Operations_Sample_Data.xlsx</x:v>
      </x:c>
      <x:c r="B240" s="33" t="str">
        <x:v>Incident_RCA</x:v>
      </x:c>
      <x:c r="C240" s="33" t="str">
        <x:v>contributing_factors</x:v>
      </x:c>
      <x:c r="D240" s="33" t="str">
        <x:v>long_text</x:v>
      </x:c>
      <x:c r="E240" s="34" t="b">
        <x:v>1</x:v>
      </x:c>
      <x:c r="F240" s="33" t="str"/>
      <x:c r="G240" s="50" t="str">
        <x:v>Contributing factors and caveat</x:v>
      </x:c>
      <x:c r="H240" s="33" t="str">
        <x:v>Synthetic analysis for workflow and reporting tests; validate with the investigation owner.</x:v>
      </x:c>
      <x:c r="I240" s="50" t="str"/>
      <x:c r="J240" s="33" t="str">
        <x:v>INTERNAL_SAMPLE</x:v>
      </x:c>
      <x:c r="K240" s="33" t="str">
        <x:v>Member 1</x:v>
      </x:c>
    </x:row>
    <x:row r="241" ht="24" customHeight="1">
      <x:c r="A241" s="33" t="str">
        <x:v>ESCA_HSE_02_Core_Operations_Sample_Data.xlsx</x:v>
      </x:c>
      <x:c r="B241" s="33" t="str">
        <x:v>Incident_RCA</x:v>
      </x:c>
      <x:c r="C241" s="33" t="str">
        <x:v>completed_by</x:v>
      </x:c>
      <x:c r="D241" s="33" t="str">
        <x:v>id</x:v>
      </x:c>
      <x:c r="E241" s="34" t="b">
        <x:v>1</x:v>
      </x:c>
      <x:c r="F241" s="33" t="str">
        <x:v>FK -&gt; Employees.employee_id</x:v>
      </x:c>
      <x:c r="G241" s="50" t="str">
        <x:v>Investigation owner</x:v>
      </x:c>
      <x:c r="H241" s="33" t="str">
        <x:v>EMP-010</x:v>
      </x:c>
      <x:c r="I241" s="50" t="str"/>
      <x:c r="J241" s="33" t="str">
        <x:v>INTERNAL_SAMPLE</x:v>
      </x:c>
      <x:c r="K241" s="33" t="str">
        <x:v>Member 1</x:v>
      </x:c>
    </x:row>
    <x:row r="242" ht="24" customHeight="1">
      <x:c r="A242" s="33" t="str">
        <x:v>ESCA_HSE_02_Core_Operations_Sample_Data.xlsx</x:v>
      </x:c>
      <x:c r="B242" s="33" t="str">
        <x:v>Incident_RCA</x:v>
      </x:c>
      <x:c r="C242" s="33" t="str">
        <x:v>completed_at</x:v>
      </x:c>
      <x:c r="D242" s="33" t="str">
        <x:v>datetime</x:v>
      </x:c>
      <x:c r="E242" s="34" t="b">
        <x:v>0</x:v>
      </x:c>
      <x:c r="F242" s="33" t="str"/>
      <x:c r="G242" s="50" t="str">
        <x:v>Completion timestamp</x:v>
      </x:c>
      <x:c r="H242" s="33" t="n">
        <x:v>46236</x:v>
      </x:c>
      <x:c r="I242" s="50" t="str"/>
      <x:c r="J242" s="33" t="str">
        <x:v>INTERNAL_SAMPLE</x:v>
      </x:c>
      <x:c r="K242" s="33" t="str">
        <x:v>Member 1</x:v>
      </x:c>
    </x:row>
    <x:row r="243" ht="24" customHeight="1">
      <x:c r="A243" s="33" t="str">
        <x:v>ESCA_HSE_02_Core_Operations_Sample_Data.xlsx</x:v>
      </x:c>
      <x:c r="B243" s="33" t="str">
        <x:v>Incident_RCA</x:v>
      </x:c>
      <x:c r="C243" s="33" t="str">
        <x:v>status</x:v>
      </x:c>
      <x:c r="D243" s="33" t="str">
        <x:v>enum</x:v>
      </x:c>
      <x:c r="E243" s="34" t="b">
        <x:v>1</x:v>
      </x:c>
      <x:c r="F243" s="33" t="str"/>
      <x:c r="G243" s="50" t="str">
        <x:v>RCA workflow state</x:v>
      </x:c>
      <x:c r="H243" s="33" t="str">
        <x:v>IN_PROGRESS</x:v>
      </x:c>
      <x:c r="I243" s="50" t="str">
        <x:v>DRAFT | IN_PROGRESS | APPROVED | REJECTED</x:v>
      </x:c>
      <x:c r="J243" s="33" t="str">
        <x:v>INTERNAL_SAMPLE</x:v>
      </x:c>
      <x:c r="K243" s="33" t="str">
        <x:v>Member 1</x:v>
      </x:c>
    </x:row>
    <x:row r="244" ht="24" customHeight="1">
      <x:c r="A244" s="33" t="str">
        <x:v>ESCA_HSE_02_Core_Operations_Sample_Data.xlsx</x:v>
      </x:c>
      <x:c r="B244" s="33" t="str">
        <x:v>Inspection_Responses</x:v>
      </x:c>
      <x:c r="C244" s="33" t="str">
        <x:v>response_id</x:v>
      </x:c>
      <x:c r="D244" s="33" t="str">
        <x:v>id</x:v>
      </x:c>
      <x:c r="E244" s="34" t="b">
        <x:v>1</x:v>
      </x:c>
      <x:c r="F244" s="33" t="str">
        <x:v>PK</x:v>
      </x:c>
      <x:c r="G244" s="50" t="str">
        <x:v>Checklist response identifier</x:v>
      </x:c>
      <x:c r="H244" s="33" t="str">
        <x:v>IRSP-0001</x:v>
      </x:c>
      <x:c r="I244" s="50" t="str"/>
      <x:c r="J244" s="33" t="str">
        <x:v>INTERNAL_SAMPLE</x:v>
      </x:c>
      <x:c r="K244" s="33" t="str">
        <x:v>Member 2 + Member 3</x:v>
      </x:c>
    </x:row>
    <x:row r="245" ht="24" customHeight="1">
      <x:c r="A245" s="33" t="str">
        <x:v>ESCA_HSE_02_Core_Operations_Sample_Data.xlsx</x:v>
      </x:c>
      <x:c r="B245" s="33" t="str">
        <x:v>Inspection_Responses</x:v>
      </x:c>
      <x:c r="C245" s="33" t="str">
        <x:v>inspection_id</x:v>
      </x:c>
      <x:c r="D245" s="33" t="str">
        <x:v>id</x:v>
      </x:c>
      <x:c r="E245" s="34" t="b">
        <x:v>1</x:v>
      </x:c>
      <x:c r="F245" s="33" t="str">
        <x:v>FK -&gt; Inspections.inspection_id</x:v>
      </x:c>
      <x:c r="G245" s="50" t="str">
        <x:v>Parent inspection</x:v>
      </x:c>
      <x:c r="H245" s="33" t="str">
        <x:v>INS-2026-0129</x:v>
      </x:c>
      <x:c r="I245" s="50" t="str"/>
      <x:c r="J245" s="33" t="str">
        <x:v>INTERNAL_SAMPLE</x:v>
      </x:c>
      <x:c r="K245" s="33" t="str">
        <x:v>Member 2 + Member 3</x:v>
      </x:c>
    </x:row>
    <x:row r="246" ht="24" customHeight="1">
      <x:c r="A246" s="33" t="str">
        <x:v>ESCA_HSE_02_Core_Operations_Sample_Data.xlsx</x:v>
      </x:c>
      <x:c r="B246" s="33" t="str">
        <x:v>Inspection_Responses</x:v>
      </x:c>
      <x:c r="C246" s="33" t="str">
        <x:v>item_code</x:v>
      </x:c>
      <x:c r="D246" s="33" t="str">
        <x:v>text</x:v>
      </x:c>
      <x:c r="E246" s="34" t="b">
        <x:v>1</x:v>
      </x:c>
      <x:c r="F246" s="33" t="str"/>
      <x:c r="G246" s="50" t="str">
        <x:v>Checklist item code</x:v>
      </x:c>
      <x:c r="H246" s="33" t="str">
        <x:v>ACCESS_CLEAR</x:v>
      </x:c>
      <x:c r="I246" s="50" t="str"/>
      <x:c r="J246" s="33" t="str">
        <x:v>INTERNAL_SAMPLE</x:v>
      </x:c>
      <x:c r="K246" s="33" t="str">
        <x:v>Member 2 + Member 3</x:v>
      </x:c>
    </x:row>
    <x:row r="247" ht="24" customHeight="1">
      <x:c r="A247" s="33" t="str">
        <x:v>ESCA_HSE_02_Core_Operations_Sample_Data.xlsx</x:v>
      </x:c>
      <x:c r="B247" s="33" t="str">
        <x:v>Inspection_Responses</x:v>
      </x:c>
      <x:c r="C247" s="33" t="str">
        <x:v>question_text</x:v>
      </x:c>
      <x:c r="D247" s="33" t="str">
        <x:v>long_text</x:v>
      </x:c>
      <x:c r="E247" s="34" t="b">
        <x:v>1</x:v>
      </x:c>
      <x:c r="F247" s="33" t="str"/>
      <x:c r="G247" s="50" t="str">
        <x:v>Checklist question</x:v>
      </x:c>
      <x:c r="H247" s="33" t="str">
        <x:v>Is access and egress clear?</x:v>
      </x:c>
      <x:c r="I247" s="50" t="str"/>
      <x:c r="J247" s="33" t="str">
        <x:v>INTERNAL_SAMPLE</x:v>
      </x:c>
      <x:c r="K247" s="33" t="str">
        <x:v>Member 2 + Member 3</x:v>
      </x:c>
    </x:row>
    <x:row r="248" ht="24" customHeight="1">
      <x:c r="A248" s="33" t="str">
        <x:v>ESCA_HSE_02_Core_Operations_Sample_Data.xlsx</x:v>
      </x:c>
      <x:c r="B248" s="33" t="str">
        <x:v>Inspection_Responses</x:v>
      </x:c>
      <x:c r="C248" s="33" t="str">
        <x:v>response</x:v>
      </x:c>
      <x:c r="D248" s="33" t="str">
        <x:v>enum</x:v>
      </x:c>
      <x:c r="E248" s="34" t="b">
        <x:v>1</x:v>
      </x:c>
      <x:c r="F248" s="33" t="str"/>
      <x:c r="G248" s="50" t="str">
        <x:v>Response</x:v>
      </x:c>
      <x:c r="H248" s="33" t="str">
        <x:v>YES</x:v>
      </x:c>
      <x:c r="I248" s="50" t="str">
        <x:v>YES | NO | NA | NOT_CHECKED</x:v>
      </x:c>
      <x:c r="J248" s="33" t="str">
        <x:v>INTERNAL_SAMPLE</x:v>
      </x:c>
      <x:c r="K248" s="33" t="str">
        <x:v>Member 2 + Member 3</x:v>
      </x:c>
    </x:row>
    <x:row r="249" ht="24" customHeight="1">
      <x:c r="A249" s="33" t="str">
        <x:v>ESCA_HSE_02_Core_Operations_Sample_Data.xlsx</x:v>
      </x:c>
      <x:c r="B249" s="33" t="str">
        <x:v>Inspection_Responses</x:v>
      </x:c>
      <x:c r="C249" s="33" t="str">
        <x:v>score</x:v>
      </x:c>
      <x:c r="D249" s="33" t="str">
        <x:v>decimal</x:v>
      </x:c>
      <x:c r="E249" s="34" t="b">
        <x:v>0</x:v>
      </x:c>
      <x:c r="F249" s="33" t="str"/>
      <x:c r="G249" s="50" t="str">
        <x:v>Normalized checklist score</x:v>
      </x:c>
      <x:c r="H249" s="33" t="str">
        <x:v>1</x:v>
      </x:c>
      <x:c r="I249" s="50" t="str"/>
      <x:c r="J249" s="33" t="str">
        <x:v>INTERNAL_SAMPLE</x:v>
      </x:c>
      <x:c r="K249" s="33" t="str">
        <x:v>Member 2 + Member 3</x:v>
      </x:c>
    </x:row>
    <x:row r="250" ht="24" customHeight="1">
      <x:c r="A250" s="33" t="str">
        <x:v>ESCA_HSE_02_Core_Operations_Sample_Data.xlsx</x:v>
      </x:c>
      <x:c r="B250" s="33" t="str">
        <x:v>Inspection_Responses</x:v>
      </x:c>
      <x:c r="C250" s="33" t="str">
        <x:v>finding_id</x:v>
      </x:c>
      <x:c r="D250" s="33" t="str">
        <x:v>id</x:v>
      </x:c>
      <x:c r="E250" s="34" t="b">
        <x:v>0</x:v>
      </x:c>
      <x:c r="F250" s="33" t="str">
        <x:v>FK -&gt; Findings.finding_id</x:v>
      </x:c>
      <x:c r="G250" s="50" t="str">
        <x:v>Finding created from a failed response</x:v>
      </x:c>
      <x:c r="H250" s="33" t="str">
        <x:v>FND-004</x:v>
      </x:c>
      <x:c r="I250" s="50" t="str"/>
      <x:c r="J250" s="33" t="str">
        <x:v>INTERNAL_SAMPLE</x:v>
      </x:c>
      <x:c r="K250" s="33" t="str">
        <x:v>Member 2 + Member 3</x:v>
      </x:c>
    </x:row>
    <x:row r="251" ht="24" customHeight="1">
      <x:c r="A251" s="33" t="str">
        <x:v>ESCA_HSE_02_Core_Operations_Sample_Data.xlsx</x:v>
      </x:c>
      <x:c r="B251" s="33" t="str">
        <x:v>Inspection_Responses</x:v>
      </x:c>
      <x:c r="C251" s="33" t="str">
        <x:v>recorded_at</x:v>
      </x:c>
      <x:c r="D251" s="33" t="str">
        <x:v>datetime</x:v>
      </x:c>
      <x:c r="E251" s="34" t="b">
        <x:v>0</x:v>
      </x:c>
      <x:c r="F251" s="33" t="str"/>
      <x:c r="G251" s="50" t="str">
        <x:v>Mobile/web capture time</x:v>
      </x:c>
      <x:c r="H251" s="33" t="n">
        <x:v>46246.336805555555</x:v>
      </x:c>
      <x:c r="I251" s="50" t="str"/>
      <x:c r="J251" s="33" t="str">
        <x:v>INTERNAL_SAMPLE</x:v>
      </x:c>
      <x:c r="K251" s="33" t="str">
        <x:v>Member 2 + Member 3</x:v>
      </x:c>
    </x:row>
    <x:row r="252" ht="24" customHeight="1">
      <x:c r="A252" s="33" t="str">
        <x:v>ESCA_HSE_02_Core_Operations_Sample_Data.xlsx</x:v>
      </x:c>
      <x:c r="B252" s="33" t="str">
        <x:v>Inspection_Responses</x:v>
      </x:c>
      <x:c r="C252" s="33" t="str">
        <x:v>recorded_by</x:v>
      </x:c>
      <x:c r="D252" s="33" t="str">
        <x:v>id</x:v>
      </x:c>
      <x:c r="E252" s="34" t="b">
        <x:v>0</x:v>
      </x:c>
      <x:c r="F252" s="33" t="str">
        <x:v>FK -&gt; Employees.employee_id</x:v>
      </x:c>
      <x:c r="G252" s="50" t="str">
        <x:v>Inspector</x:v>
      </x:c>
      <x:c r="H252" s="33" t="str">
        <x:v>EMP-010</x:v>
      </x:c>
      <x:c r="I252" s="50" t="str"/>
      <x:c r="J252" s="33" t="str">
        <x:v>INTERNAL_SAMPLE</x:v>
      </x:c>
      <x:c r="K252" s="33" t="str">
        <x:v>Member 2 + Member 3</x:v>
      </x:c>
    </x:row>
    <x:row r="253" ht="24" customHeight="1">
      <x:c r="A253" s="33" t="str">
        <x:v>ESCA_HSE_02_Core_Operations_Sample_Data.xlsx</x:v>
      </x:c>
      <x:c r="B253" s="33" t="str">
        <x:v>Inspection_Responses</x:v>
      </x:c>
      <x:c r="C253" s="33" t="str">
        <x:v>evidence_ref</x:v>
      </x:c>
      <x:c r="D253" s="33" t="str">
        <x:v>text</x:v>
      </x:c>
      <x:c r="E253" s="34" t="b">
        <x:v>0</x:v>
      </x:c>
      <x:c r="F253" s="33" t="str"/>
      <x:c r="G253" s="50" t="str">
        <x:v>Synthetic evidence reference</x:v>
      </x:c>
      <x:c r="H253" s="33" t="str">
        <x:v>photos/synthetic/INS-2026-0127-ACCESS_CLEAR.jpg</x:v>
      </x:c>
      <x:c r="I253" s="50" t="str"/>
      <x:c r="J253" s="33" t="str">
        <x:v>INTERNAL_SAMPLE</x:v>
      </x:c>
      <x:c r="K253" s="33" t="str">
        <x:v>Member 2 + Member 3</x:v>
      </x:c>
    </x:row>
    <x:row r="254" ht="24" customHeight="1">
      <x:c r="A254" s="33" t="str">
        <x:v>ESCA_HSE_02_Core_Operations_Sample_Data.xlsx</x:v>
      </x:c>
      <x:c r="B254" s="33" t="str">
        <x:v>Monthly_KPIs</x:v>
      </x:c>
      <x:c r="C254" s="33" t="str">
        <x:v>kpi_id</x:v>
      </x:c>
      <x:c r="D254" s="33" t="str">
        <x:v>id</x:v>
      </x:c>
      <x:c r="E254" s="34" t="b">
        <x:v>1</x:v>
      </x:c>
      <x:c r="F254" s="33" t="str">
        <x:v>PK</x:v>
      </x:c>
      <x:c r="G254" s="50" t="str">
        <x:v>Monthly KPI row</x:v>
      </x:c>
      <x:c r="H254" s="33" t="str">
        <x:v>KPI-2026-01</x:v>
      </x:c>
      <x:c r="I254" s="50" t="str"/>
      <x:c r="J254" s="33" t="str">
        <x:v>INTERNAL_SAMPLE</x:v>
      </x:c>
      <x:c r="K254" s="33" t="str">
        <x:v>Member 2 + Member 3</x:v>
      </x:c>
    </x:row>
    <x:row r="255" ht="24" customHeight="1">
      <x:c r="A255" s="33" t="str">
        <x:v>ESCA_HSE_02_Core_Operations_Sample_Data.xlsx</x:v>
      </x:c>
      <x:c r="B255" s="33" t="str">
        <x:v>Monthly_KPIs</x:v>
      </x:c>
      <x:c r="C255" s="33" t="str">
        <x:v>month</x:v>
      </x:c>
      <x:c r="D255" s="33" t="str">
        <x:v>text</x:v>
      </x:c>
      <x:c r="E255" s="34" t="b">
        <x:v>1</x:v>
      </x:c>
      <x:c r="F255" s="33" t="str"/>
      <x:c r="G255" s="50" t="str">
        <x:v>Month label YYYY-MM</x:v>
      </x:c>
      <x:c r="H255" s="33" t="str">
        <x:v>2026-01</x:v>
      </x:c>
      <x:c r="I255" s="50" t="str"/>
      <x:c r="J255" s="33" t="str">
        <x:v>INTERNAL_SAMPLE</x:v>
      </x:c>
      <x:c r="K255" s="33" t="str">
        <x:v>Member 2 + Member 3</x:v>
      </x:c>
    </x:row>
    <x:row r="256" ht="24" customHeight="1">
      <x:c r="A256" s="33" t="str">
        <x:v>ESCA_HSE_02_Core_Operations_Sample_Data.xlsx</x:v>
      </x:c>
      <x:c r="B256" s="33" t="str">
        <x:v>Monthly_KPIs</x:v>
      </x:c>
      <x:c r="C256" s="33" t="str">
        <x:v>hours_worked</x:v>
      </x:c>
      <x:c r="D256" s="33" t="str">
        <x:v>integer</x:v>
      </x:c>
      <x:c r="E256" s="34" t="b">
        <x:v>1</x:v>
      </x:c>
      <x:c r="F256" s="33" t="str"/>
      <x:c r="G256" s="50" t="str">
        <x:v>Hours worked</x:v>
      </x:c>
      <x:c r="H256" s="33" t="str">
        <x:v>160000</x:v>
      </x:c>
      <x:c r="I256" s="50" t="str"/>
      <x:c r="J256" s="33" t="str">
        <x:v>INTERNAL_SAMPLE</x:v>
      </x:c>
      <x:c r="K256" s="33" t="str">
        <x:v>Member 2 + Member 3</x:v>
      </x:c>
    </x:row>
    <x:row r="257" ht="24" customHeight="1">
      <x:c r="A257" s="33" t="str">
        <x:v>ESCA_HSE_02_Core_Operations_Sample_Data.xlsx</x:v>
      </x:c>
      <x:c r="B257" s="33" t="str">
        <x:v>Monthly_KPIs</x:v>
      </x:c>
      <x:c r="C257" s="33" t="str">
        <x:v>recordable_incidents</x:v>
      </x:c>
      <x:c r="D257" s="33" t="str">
        <x:v>integer</x:v>
      </x:c>
      <x:c r="E257" s="34" t="b">
        <x:v>1</x:v>
      </x:c>
      <x:c r="F257" s="33" t="str"/>
      <x:c r="G257" s="50" t="str">
        <x:v>Recordable incidents</x:v>
      </x:c>
      <x:c r="H257" s="33" t="str">
        <x:v>1</x:v>
      </x:c>
      <x:c r="I257" s="50" t="str"/>
      <x:c r="J257" s="33" t="str">
        <x:v>INTERNAL_SAMPLE</x:v>
      </x:c>
      <x:c r="K257" s="33" t="str">
        <x:v>Member 2 + Member 3</x:v>
      </x:c>
    </x:row>
    <x:row r="258" ht="24" customHeight="1">
      <x:c r="A258" s="33" t="str">
        <x:v>ESCA_HSE_02_Core_Operations_Sample_Data.xlsx</x:v>
      </x:c>
      <x:c r="B258" s="33" t="str">
        <x:v>Monthly_KPIs</x:v>
      </x:c>
      <x:c r="C258" s="33" t="str">
        <x:v>lost_time_injuries</x:v>
      </x:c>
      <x:c r="D258" s="33" t="str">
        <x:v>integer</x:v>
      </x:c>
      <x:c r="E258" s="34" t="b">
        <x:v>1</x:v>
      </x:c>
      <x:c r="F258" s="33" t="str"/>
      <x:c r="G258" s="50" t="str">
        <x:v>Lost-time injuries</x:v>
      </x:c>
      <x:c r="H258" s="33" t="str">
        <x:v>0</x:v>
      </x:c>
      <x:c r="I258" s="50" t="str"/>
      <x:c r="J258" s="33" t="str">
        <x:v>INTERNAL_SAMPLE</x:v>
      </x:c>
      <x:c r="K258" s="33" t="str">
        <x:v>Member 2 + Member 3</x:v>
      </x:c>
    </x:row>
    <x:row r="259" ht="24" customHeight="1">
      <x:c r="A259" s="33" t="str">
        <x:v>ESCA_HSE_02_Core_Operations_Sample_Data.xlsx</x:v>
      </x:c>
      <x:c r="B259" s="33" t="str">
        <x:v>Monthly_KPIs</x:v>
      </x:c>
      <x:c r="C259" s="33" t="str">
        <x:v>lost_days</x:v>
      </x:c>
      <x:c r="D259" s="33" t="str">
        <x:v>integer</x:v>
      </x:c>
      <x:c r="E259" s="34" t="b">
        <x:v>1</x:v>
      </x:c>
      <x:c r="F259" s="33" t="str"/>
      <x:c r="G259" s="50" t="str">
        <x:v>Lost work days</x:v>
      </x:c>
      <x:c r="H259" s="33" t="str">
        <x:v>0</x:v>
      </x:c>
      <x:c r="I259" s="50" t="str"/>
      <x:c r="J259" s="33" t="str">
        <x:v>INTERNAL_SAMPLE</x:v>
      </x:c>
      <x:c r="K259" s="33" t="str">
        <x:v>Member 2 + Member 3</x:v>
      </x:c>
    </x:row>
    <x:row r="260" ht="24" customHeight="1">
      <x:c r="A260" s="33" t="str">
        <x:v>ESCA_HSE_02_Core_Operations_Sample_Data.xlsx</x:v>
      </x:c>
      <x:c r="B260" s="33" t="str">
        <x:v>Monthly_KPIs</x:v>
      </x:c>
      <x:c r="C260" s="33" t="str">
        <x:v>near_misses</x:v>
      </x:c>
      <x:c r="D260" s="33" t="str">
        <x:v>integer</x:v>
      </x:c>
      <x:c r="E260" s="34" t="b">
        <x:v>1</x:v>
      </x:c>
      <x:c r="F260" s="33" t="str"/>
      <x:c r="G260" s="50" t="str">
        <x:v>Near misses</x:v>
      </x:c>
      <x:c r="H260" s="33" t="str">
        <x:v>4</x:v>
      </x:c>
      <x:c r="I260" s="50" t="str"/>
      <x:c r="J260" s="33" t="str">
        <x:v>INTERNAL_SAMPLE</x:v>
      </x:c>
      <x:c r="K260" s="33" t="str">
        <x:v>Member 2 + Member 3</x:v>
      </x:c>
    </x:row>
    <x:row r="261" ht="24" customHeight="1">
      <x:c r="A261" s="33" t="str">
        <x:v>ESCA_HSE_02_Core_Operations_Sample_Data.xlsx</x:v>
      </x:c>
      <x:c r="B261" s="33" t="str">
        <x:v>Monthly_KPIs</x:v>
      </x:c>
      <x:c r="C261" s="33" t="str">
        <x:v>safety_observations</x:v>
      </x:c>
      <x:c r="D261" s="33" t="str">
        <x:v>integer</x:v>
      </x:c>
      <x:c r="E261" s="34" t="b">
        <x:v>1</x:v>
      </x:c>
      <x:c r="F261" s="33" t="str"/>
      <x:c r="G261" s="50" t="str">
        <x:v>Safety observations</x:v>
      </x:c>
      <x:c r="H261" s="33" t="str">
        <x:v>38</x:v>
      </x:c>
      <x:c r="I261" s="50" t="str"/>
      <x:c r="J261" s="33" t="str">
        <x:v>INTERNAL_SAMPLE</x:v>
      </x:c>
      <x:c r="K261" s="33" t="str">
        <x:v>Member 2 + Member 3</x:v>
      </x:c>
    </x:row>
    <x:row r="262" ht="24" customHeight="1">
      <x:c r="A262" s="33" t="str">
        <x:v>ESCA_HSE_02_Core_Operations_Sample_Data.xlsx</x:v>
      </x:c>
      <x:c r="B262" s="33" t="str">
        <x:v>Monthly_KPIs</x:v>
      </x:c>
      <x:c r="C262" s="33" t="str">
        <x:v>inspections_completed</x:v>
      </x:c>
      <x:c r="D262" s="33" t="str">
        <x:v>integer</x:v>
      </x:c>
      <x:c r="E262" s="34" t="b">
        <x:v>1</x:v>
      </x:c>
      <x:c r="F262" s="33" t="str"/>
      <x:c r="G262" s="50" t="str">
        <x:v>Completed inspections</x:v>
      </x:c>
      <x:c r="H262" s="33" t="str">
        <x:v>14</x:v>
      </x:c>
      <x:c r="I262" s="50" t="str"/>
      <x:c r="J262" s="33" t="str">
        <x:v>INTERNAL_SAMPLE</x:v>
      </x:c>
      <x:c r="K262" s="33" t="str">
        <x:v>Member 2 + Member 3</x:v>
      </x:c>
    </x:row>
    <x:row r="263" ht="24" customHeight="1">
      <x:c r="A263" s="33" t="str">
        <x:v>ESCA_HSE_02_Core_Operations_Sample_Data.xlsx</x:v>
      </x:c>
      <x:c r="B263" s="33" t="str">
        <x:v>Monthly_KPIs</x:v>
      </x:c>
      <x:c r="C263" s="33" t="str">
        <x:v>training_hours</x:v>
      </x:c>
      <x:c r="D263" s="33" t="str">
        <x:v>integer</x:v>
      </x:c>
      <x:c r="E263" s="34" t="b">
        <x:v>1</x:v>
      </x:c>
      <x:c r="F263" s="33" t="str"/>
      <x:c r="G263" s="50" t="str">
        <x:v>Training hours</x:v>
      </x:c>
      <x:c r="H263" s="33" t="str">
        <x:v>480</x:v>
      </x:c>
      <x:c r="I263" s="50" t="str"/>
      <x:c r="J263" s="33" t="str">
        <x:v>INTERNAL_SAMPLE</x:v>
      </x:c>
      <x:c r="K263" s="33" t="str">
        <x:v>Member 2 + Member 3</x:v>
      </x:c>
    </x:row>
    <x:row r="264" ht="24" customHeight="1">
      <x:c r="A264" s="33" t="str">
        <x:v>ESCA_HSE_02_Core_Operations_Sample_Data.xlsx</x:v>
      </x:c>
      <x:c r="B264" s="33" t="str">
        <x:v>Monthly_KPIs</x:v>
      </x:c>
      <x:c r="C264" s="33" t="str">
        <x:v>trir</x:v>
      </x:c>
      <x:c r="D264" s="33" t="str">
        <x:v>formula</x:v>
      </x:c>
      <x:c r="E264" s="34" t="b">
        <x:v>1</x:v>
      </x:c>
      <x:c r="F264" s="33" t="str"/>
      <x:c r="G264" s="50" t="str">
        <x:v>TRIR per 200,000 hours</x:v>
      </x:c>
      <x:c r="H264" s="33" t="str">
        <x:v>Formula-derived</x:v>
      </x:c>
      <x:c r="I264" s="50" t="str"/>
      <x:c r="J264" s="33" t="str">
        <x:v>INTERNAL_SAMPLE</x:v>
      </x:c>
      <x:c r="K264" s="33" t="str">
        <x:v>Member 2 + Member 3</x:v>
      </x:c>
    </x:row>
    <x:row r="265" ht="24" customHeight="1">
      <x:c r="A265" s="33" t="str">
        <x:v>ESCA_HSE_02_Core_Operations_Sample_Data.xlsx</x:v>
      </x:c>
      <x:c r="B265" s="33" t="str">
        <x:v>Monthly_KPIs</x:v>
      </x:c>
      <x:c r="C265" s="33" t="str">
        <x:v>ltifr</x:v>
      </x:c>
      <x:c r="D265" s="33" t="str">
        <x:v>formula</x:v>
      </x:c>
      <x:c r="E265" s="34" t="b">
        <x:v>1</x:v>
      </x:c>
      <x:c r="F265" s="33" t="str"/>
      <x:c r="G265" s="50" t="str">
        <x:v>LTIFR per 1,000,000 hours</x:v>
      </x:c>
      <x:c r="H265" s="33" t="str">
        <x:v>Formula-derived</x:v>
      </x:c>
      <x:c r="I265" s="50" t="str"/>
      <x:c r="J265" s="33" t="str">
        <x:v>INTERNAL_SAMPLE</x:v>
      </x:c>
      <x:c r="K265" s="33" t="str">
        <x:v>Member 2 + Member 3</x:v>
      </x:c>
    </x:row>
    <x:row r="266" ht="24" customHeight="1">
      <x:c r="A266" s="33" t="str">
        <x:v>ESCA_HSE_02_Core_Operations_Sample_Data.xlsx</x:v>
      </x:c>
      <x:c r="B266" s="33" t="str">
        <x:v>Monthly_KPIs</x:v>
      </x:c>
      <x:c r="C266" s="33" t="str">
        <x:v>severity_rate</x:v>
      </x:c>
      <x:c r="D266" s="33" t="str">
        <x:v>formula</x:v>
      </x:c>
      <x:c r="E266" s="34" t="b">
        <x:v>1</x:v>
      </x:c>
      <x:c r="F266" s="33" t="str"/>
      <x:c r="G266" s="50" t="str">
        <x:v>Lost-day severity rate per 200,000 hours</x:v>
      </x:c>
      <x:c r="H266" s="33" t="str">
        <x:v>Formula-derived</x:v>
      </x:c>
      <x:c r="I266" s="50" t="str"/>
      <x:c r="J266" s="33" t="str">
        <x:v>INTERNAL_SAMPLE</x:v>
      </x:c>
      <x:c r="K266" s="33" t="str">
        <x:v>Member 2 + Member 3</x:v>
      </x:c>
    </x:row>
    <x:row r="267" ht="24" customHeight="1">
      <x:c r="A267" s="33" t="str">
        <x:v>ESCA_HSE_02_Core_Operations_Sample_Data.xlsx</x:v>
      </x:c>
      <x:c r="B267" s="33" t="str">
        <x:v>Report_Definitions</x:v>
      </x:c>
      <x:c r="C267" s="33" t="str">
        <x:v>report_id</x:v>
      </x:c>
      <x:c r="D267" s="33" t="str">
        <x:v>id</x:v>
      </x:c>
      <x:c r="E267" s="34" t="b">
        <x:v>1</x:v>
      </x:c>
      <x:c r="F267" s="33" t="str">
        <x:v>PK</x:v>
      </x:c>
      <x:c r="G267" s="50" t="str">
        <x:v>Report definition</x:v>
      </x:c>
      <x:c r="H267" s="33" t="str">
        <x:v>RPT-001</x:v>
      </x:c>
      <x:c r="I267" s="50" t="str"/>
      <x:c r="J267" s="33" t="str">
        <x:v>INTERNAL_SAMPLE</x:v>
      </x:c>
      <x:c r="K267" s="33" t="str">
        <x:v>Member 2 + Member 3</x:v>
      </x:c>
    </x:row>
    <x:row r="268" ht="24" customHeight="1">
      <x:c r="A268" s="33" t="str">
        <x:v>ESCA_HSE_02_Core_Operations_Sample_Data.xlsx</x:v>
      </x:c>
      <x:c r="B268" s="33" t="str">
        <x:v>Report_Definitions</x:v>
      </x:c>
      <x:c r="C268" s="33" t="str">
        <x:v>report_name</x:v>
      </x:c>
      <x:c r="D268" s="33" t="str">
        <x:v>text</x:v>
      </x:c>
      <x:c r="E268" s="34" t="b">
        <x:v>1</x:v>
      </x:c>
      <x:c r="F268" s="33" t="str"/>
      <x:c r="G268" s="50" t="str">
        <x:v>Report name</x:v>
      </x:c>
      <x:c r="H268" s="33" t="str">
        <x:v>Monthly HSE Report</x:v>
      </x:c>
      <x:c r="I268" s="50" t="str"/>
      <x:c r="J268" s="33" t="str">
        <x:v>INTERNAL_SAMPLE</x:v>
      </x:c>
      <x:c r="K268" s="33" t="str">
        <x:v>Member 2 + Member 3</x:v>
      </x:c>
    </x:row>
    <x:row r="269" ht="24" customHeight="1">
      <x:c r="A269" s="33" t="str">
        <x:v>ESCA_HSE_02_Core_Operations_Sample_Data.xlsx</x:v>
      </x:c>
      <x:c r="B269" s="33" t="str">
        <x:v>Report_Definitions</x:v>
      </x:c>
      <x:c r="C269" s="33" t="str">
        <x:v>report_type</x:v>
      </x:c>
      <x:c r="D269" s="33" t="str">
        <x:v>enum</x:v>
      </x:c>
      <x:c r="E269" s="34" t="b">
        <x:v>1</x:v>
      </x:c>
      <x:c r="F269" s="33" t="str"/>
      <x:c r="G269" s="50" t="str">
        <x:v>Report type</x:v>
      </x:c>
      <x:c r="H269" s="33" t="str">
        <x:v>MONTHLY_HSE</x:v>
      </x:c>
      <x:c r="I269" s="50" t="str"/>
      <x:c r="J269" s="33" t="str">
        <x:v>INTERNAL_SAMPLE</x:v>
      </x:c>
      <x:c r="K269" s="33" t="str">
        <x:v>Member 2 + Member 3</x:v>
      </x:c>
    </x:row>
    <x:row r="270" ht="24" customHeight="1">
      <x:c r="A270" s="33" t="str">
        <x:v>ESCA_HSE_02_Core_Operations_Sample_Data.xlsx</x:v>
      </x:c>
      <x:c r="B270" s="33" t="str">
        <x:v>Report_Definitions</x:v>
      </x:c>
      <x:c r="C270" s="33" t="str">
        <x:v>data_sources</x:v>
      </x:c>
      <x:c r="D270" s="33" t="str">
        <x:v>text</x:v>
      </x:c>
      <x:c r="E270" s="34" t="b">
        <x:v>1</x:v>
      </x:c>
      <x:c r="F270" s="33" t="str"/>
      <x:c r="G270" s="50" t="str">
        <x:v>Semicolon-separated datasets</x:v>
      </x:c>
      <x:c r="H270" s="33" t="str">
        <x:v>KPI;INCIDENT;CAPA;TRAINING</x:v>
      </x:c>
      <x:c r="I270" s="50" t="str"/>
      <x:c r="J270" s="33" t="str">
        <x:v>INTERNAL_SAMPLE</x:v>
      </x:c>
      <x:c r="K270" s="33" t="str">
        <x:v>Member 2 + Member 3</x:v>
      </x:c>
    </x:row>
    <x:row r="271" ht="24" customHeight="1">
      <x:c r="A271" s="33" t="str">
        <x:v>ESCA_HSE_02_Core_Operations_Sample_Data.xlsx</x:v>
      </x:c>
      <x:c r="B271" s="33" t="str">
        <x:v>Report_Definitions</x:v>
      </x:c>
      <x:c r="C271" s="33" t="str">
        <x:v>formats</x:v>
      </x:c>
      <x:c r="D271" s="33" t="str">
        <x:v>text</x:v>
      </x:c>
      <x:c r="E271" s="34" t="b">
        <x:v>1</x:v>
      </x:c>
      <x:c r="F271" s="33" t="str"/>
      <x:c r="G271" s="50" t="str">
        <x:v>Supported output formats</x:v>
      </x:c>
      <x:c r="H271" s="33" t="str">
        <x:v>PDF;XLSX</x:v>
      </x:c>
      <x:c r="I271" s="50" t="str"/>
      <x:c r="J271" s="33" t="str">
        <x:v>INTERNAL_SAMPLE</x:v>
      </x:c>
      <x:c r="K271" s="33" t="str">
        <x:v>Member 2 + Member 3</x:v>
      </x:c>
    </x:row>
    <x:row r="272" ht="24" customHeight="1">
      <x:c r="A272" s="33" t="str">
        <x:v>ESCA_HSE_02_Core_Operations_Sample_Data.xlsx</x:v>
      </x:c>
      <x:c r="B272" s="33" t="str">
        <x:v>Report_Definitions</x:v>
      </x:c>
      <x:c r="C272" s="33" t="str">
        <x:v>schedule_cron</x:v>
      </x:c>
      <x:c r="D272" s="33" t="str">
        <x:v>text</x:v>
      </x:c>
      <x:c r="E272" s="34" t="b">
        <x:v>1</x:v>
      </x:c>
      <x:c r="F272" s="33" t="str"/>
      <x:c r="G272" s="50" t="str">
        <x:v>Schedule or MANUAL</x:v>
      </x:c>
      <x:c r="H272" s="33" t="str">
        <x:v>0 8 1 * *</x:v>
      </x:c>
      <x:c r="I272" s="50" t="str"/>
      <x:c r="J272" s="33" t="str">
        <x:v>INTERNAL_SAMPLE</x:v>
      </x:c>
      <x:c r="K272" s="33" t="str">
        <x:v>Member 2 + Member 3</x:v>
      </x:c>
    </x:row>
    <x:row r="273" ht="24" customHeight="1">
      <x:c r="A273" s="33" t="str">
        <x:v>ESCA_HSE_02_Core_Operations_Sample_Data.xlsx</x:v>
      </x:c>
      <x:c r="B273" s="33" t="str">
        <x:v>Report_Definitions</x:v>
      </x:c>
      <x:c r="C273" s="33" t="str">
        <x:v>timezone</x:v>
      </x:c>
      <x:c r="D273" s="33" t="str">
        <x:v>text</x:v>
      </x:c>
      <x:c r="E273" s="34" t="b">
        <x:v>1</x:v>
      </x:c>
      <x:c r="F273" s="33" t="str"/>
      <x:c r="G273" s="50" t="str">
        <x:v>Schedule timezone</x:v>
      </x:c>
      <x:c r="H273" s="33" t="str">
        <x:v>Africa/Cairo</x:v>
      </x:c>
      <x:c r="I273" s="50" t="str"/>
      <x:c r="J273" s="33" t="str">
        <x:v>INTERNAL_SAMPLE</x:v>
      </x:c>
      <x:c r="K273" s="33" t="str">
        <x:v>Member 2 + Member 3</x:v>
      </x:c>
    </x:row>
    <x:row r="274" ht="24" customHeight="1">
      <x:c r="A274" s="33" t="str">
        <x:v>ESCA_HSE_02_Core_Operations_Sample_Data.xlsx</x:v>
      </x:c>
      <x:c r="B274" s="33" t="str">
        <x:v>Report_Definitions</x:v>
      </x:c>
      <x:c r="C274" s="33" t="str">
        <x:v>recipient_role</x:v>
      </x:c>
      <x:c r="D274" s="33" t="str">
        <x:v>id</x:v>
      </x:c>
      <x:c r="E274" s="34" t="b">
        <x:v>1</x:v>
      </x:c>
      <x:c r="F274" s="33" t="str">
        <x:v>FK -&gt; Roles.role_id</x:v>
      </x:c>
      <x:c r="G274" s="50" t="str">
        <x:v>Default recipient role</x:v>
      </x:c>
      <x:c r="H274" s="33" t="str">
        <x:v>ROLE-HSE-MGR</x:v>
      </x:c>
      <x:c r="I274" s="50" t="str"/>
      <x:c r="J274" s="33" t="str">
        <x:v>INTERNAL_SAMPLE</x:v>
      </x:c>
      <x:c r="K274" s="33" t="str">
        <x:v>Member 2 + Member 3</x:v>
      </x:c>
    </x:row>
    <x:row r="275" ht="24" customHeight="1">
      <x:c r="A275" s="33" t="str">
        <x:v>ESCA_HSE_02_Core_Operations_Sample_Data.xlsx</x:v>
      </x:c>
      <x:c r="B275" s="33" t="str">
        <x:v>Report_Definitions</x:v>
      </x:c>
      <x:c r="C275" s="33" t="str">
        <x:v>enabled_flag</x:v>
      </x:c>
      <x:c r="D275" s="33" t="str">
        <x:v>boolean</x:v>
      </x:c>
      <x:c r="E275" s="34" t="b">
        <x:v>1</x:v>
      </x:c>
      <x:c r="F275" s="33" t="str"/>
      <x:c r="G275" s="50" t="str">
        <x:v>Report enabled</x:v>
      </x:c>
      <x:c r="H275" s="33" t="str">
        <x:v>true</x:v>
      </x:c>
      <x:c r="I275" s="50" t="str"/>
      <x:c r="J275" s="33" t="str">
        <x:v>INTERNAL_SAMPLE</x:v>
      </x:c>
      <x:c r="K275" s="33" t="str">
        <x:v>Member 2 + Member 3</x:v>
      </x:c>
    </x:row>
    <x:row r="276" ht="24" customHeight="1">
      <x:c r="A276" s="33" t="str">
        <x:v>ESCA_HSE_02_Core_Operations_Sample_Data.xlsx</x:v>
      </x:c>
      <x:c r="B276" s="33" t="str">
        <x:v>Report_Definitions</x:v>
      </x:c>
      <x:c r="C276" s="33" t="str">
        <x:v>retention_days</x:v>
      </x:c>
      <x:c r="D276" s="33" t="str">
        <x:v>integer</x:v>
      </x:c>
      <x:c r="E276" s="34" t="b">
        <x:v>1</x:v>
      </x:c>
      <x:c r="F276" s="33" t="str"/>
      <x:c r="G276" s="50" t="str">
        <x:v>Retention period</x:v>
      </x:c>
      <x:c r="H276" s="33" t="str">
        <x:v>730</x:v>
      </x:c>
      <x:c r="I276" s="50" t="str"/>
      <x:c r="J276" s="33" t="str">
        <x:v>INTERNAL_SAMPLE</x:v>
      </x:c>
      <x:c r="K276" s="33" t="str">
        <x:v>Member 2 + Member 3</x:v>
      </x:c>
    </x:row>
    <x:row r="277" ht="24" customHeight="1">
      <x:c r="A277" s="33" t="str">
        <x:v>ESCA_HSE_02_Core_Operations_Sample_Data.xlsx</x:v>
      </x:c>
      <x:c r="B277" s="33" t="str">
        <x:v>Report_Runs</x:v>
      </x:c>
      <x:c r="C277" s="33" t="str">
        <x:v>report_run_id</x:v>
      </x:c>
      <x:c r="D277" s="33" t="str">
        <x:v>id</x:v>
      </x:c>
      <x:c r="E277" s="34" t="b">
        <x:v>1</x:v>
      </x:c>
      <x:c r="F277" s="33" t="str">
        <x:v>PK</x:v>
      </x:c>
      <x:c r="G277" s="50" t="str">
        <x:v>Report execution</x:v>
      </x:c>
      <x:c r="H277" s="33" t="str">
        <x:v>RRN-001</x:v>
      </x:c>
      <x:c r="I277" s="50" t="str"/>
      <x:c r="J277" s="33" t="str">
        <x:v>INTERNAL_SAMPLE</x:v>
      </x:c>
      <x:c r="K277" s="33" t="str">
        <x:v>Member 2</x:v>
      </x:c>
    </x:row>
    <x:row r="278" ht="24" customHeight="1">
      <x:c r="A278" s="33" t="str">
        <x:v>ESCA_HSE_02_Core_Operations_Sample_Data.xlsx</x:v>
      </x:c>
      <x:c r="B278" s="33" t="str">
        <x:v>Report_Runs</x:v>
      </x:c>
      <x:c r="C278" s="33" t="str">
        <x:v>report_id</x:v>
      </x:c>
      <x:c r="D278" s="33" t="str">
        <x:v>id</x:v>
      </x:c>
      <x:c r="E278" s="34" t="b">
        <x:v>1</x:v>
      </x:c>
      <x:c r="F278" s="33" t="str">
        <x:v>FK -&gt; Report_Definitions.report_id</x:v>
      </x:c>
      <x:c r="G278" s="50" t="str">
        <x:v>Report definition</x:v>
      </x:c>
      <x:c r="H278" s="33" t="str">
        <x:v>RPT-001</x:v>
      </x:c>
      <x:c r="I278" s="50" t="str"/>
      <x:c r="J278" s="33" t="str">
        <x:v>INTERNAL_SAMPLE</x:v>
      </x:c>
      <x:c r="K278" s="33" t="str">
        <x:v>Member 2</x:v>
      </x:c>
    </x:row>
    <x:row r="279" ht="24" customHeight="1">
      <x:c r="A279" s="33" t="str">
        <x:v>ESCA_HSE_02_Core_Operations_Sample_Data.xlsx</x:v>
      </x:c>
      <x:c r="B279" s="33" t="str">
        <x:v>Report_Runs</x:v>
      </x:c>
      <x:c r="C279" s="33" t="str">
        <x:v>requested_at</x:v>
      </x:c>
      <x:c r="D279" s="33" t="str">
        <x:v>datetime</x:v>
      </x:c>
      <x:c r="E279" s="34" t="b">
        <x:v>1</x:v>
      </x:c>
      <x:c r="F279" s="33" t="str"/>
      <x:c r="G279" s="50" t="str">
        <x:v>Request time</x:v>
      </x:c>
      <x:c r="H279" s="33" t="n">
        <x:v>46247.166666666664</x:v>
      </x:c>
      <x:c r="I279" s="50" t="str"/>
      <x:c r="J279" s="33" t="str">
        <x:v>INTERNAL_SAMPLE</x:v>
      </x:c>
      <x:c r="K279" s="33" t="str">
        <x:v>Member 2</x:v>
      </x:c>
    </x:row>
    <x:row r="280" ht="24" customHeight="1">
      <x:c r="A280" s="33" t="str">
        <x:v>ESCA_HSE_02_Core_Operations_Sample_Data.xlsx</x:v>
      </x:c>
      <x:c r="B280" s="33" t="str">
        <x:v>Report_Runs</x:v>
      </x:c>
      <x:c r="C280" s="33" t="str">
        <x:v>requested_by</x:v>
      </x:c>
      <x:c r="D280" s="33" t="str">
        <x:v>id</x:v>
      </x:c>
      <x:c r="E280" s="34" t="b">
        <x:v>1</x:v>
      </x:c>
      <x:c r="F280" s="33" t="str"/>
      <x:c r="G280" s="50" t="str">
        <x:v>User ID or SYSTEM</x:v>
      </x:c>
      <x:c r="H280" s="33" t="str">
        <x:v>USR-008</x:v>
      </x:c>
      <x:c r="I280" s="50" t="str"/>
      <x:c r="J280" s="33" t="str">
        <x:v>INTERNAL_SAMPLE</x:v>
      </x:c>
      <x:c r="K280" s="33" t="str">
        <x:v>Member 2</x:v>
      </x:c>
    </x:row>
    <x:row r="281" ht="24" customHeight="1">
      <x:c r="A281" s="33" t="str">
        <x:v>ESCA_HSE_02_Core_Operations_Sample_Data.xlsx</x:v>
      </x:c>
      <x:c r="B281" s="33" t="str">
        <x:v>Report_Runs</x:v>
      </x:c>
      <x:c r="C281" s="33" t="str">
        <x:v>period_from</x:v>
      </x:c>
      <x:c r="D281" s="33" t="str">
        <x:v>date</x:v>
      </x:c>
      <x:c r="E281" s="34" t="b">
        <x:v>1</x:v>
      </x:c>
      <x:c r="F281" s="33" t="str"/>
      <x:c r="G281" s="50" t="str">
        <x:v>Reporting period start</x:v>
      </x:c>
      <x:c r="H281" s="33" t="n">
        <x:v>46235</x:v>
      </x:c>
      <x:c r="I281" s="50" t="str"/>
      <x:c r="J281" s="33" t="str">
        <x:v>INTERNAL_SAMPLE</x:v>
      </x:c>
      <x:c r="K281" s="33" t="str">
        <x:v>Member 2</x:v>
      </x:c>
    </x:row>
    <x:row r="282" ht="24" customHeight="1">
      <x:c r="A282" s="33" t="str">
        <x:v>ESCA_HSE_02_Core_Operations_Sample_Data.xlsx</x:v>
      </x:c>
      <x:c r="B282" s="33" t="str">
        <x:v>Report_Runs</x:v>
      </x:c>
      <x:c r="C282" s="33" t="str">
        <x:v>period_to</x:v>
      </x:c>
      <x:c r="D282" s="33" t="str">
        <x:v>date</x:v>
      </x:c>
      <x:c r="E282" s="34" t="b">
        <x:v>1</x:v>
      </x:c>
      <x:c r="F282" s="33" t="str"/>
      <x:c r="G282" s="50" t="str">
        <x:v>Reporting period end</x:v>
      </x:c>
      <x:c r="H282" s="33" t="n">
        <x:v>46247</x:v>
      </x:c>
      <x:c r="I282" s="50" t="str"/>
      <x:c r="J282" s="33" t="str">
        <x:v>INTERNAL_SAMPLE</x:v>
      </x:c>
      <x:c r="K282" s="33" t="str">
        <x:v>Member 2</x:v>
      </x:c>
    </x:row>
    <x:row r="283" ht="24" customHeight="1">
      <x:c r="A283" s="33" t="str">
        <x:v>ESCA_HSE_02_Core_Operations_Sample_Data.xlsx</x:v>
      </x:c>
      <x:c r="B283" s="33" t="str">
        <x:v>Report_Runs</x:v>
      </x:c>
      <x:c r="C283" s="33" t="str">
        <x:v>status</x:v>
      </x:c>
      <x:c r="D283" s="33" t="str">
        <x:v>enum</x:v>
      </x:c>
      <x:c r="E283" s="34" t="b">
        <x:v>1</x:v>
      </x:c>
      <x:c r="F283" s="33" t="str"/>
      <x:c r="G283" s="50" t="str">
        <x:v>Report-run status</x:v>
      </x:c>
      <x:c r="H283" s="33" t="str">
        <x:v>COMPLETED</x:v>
      </x:c>
      <x:c r="I283" s="50" t="str">
        <x:v>QUEUED | RUNNING | COMPLETED | FAILED | CANCELLED</x:v>
      </x:c>
      <x:c r="J283" s="33" t="str">
        <x:v>INTERNAL_SAMPLE</x:v>
      </x:c>
      <x:c r="K283" s="33" t="str">
        <x:v>Member 2</x:v>
      </x:c>
    </x:row>
    <x:row r="284" ht="24" customHeight="1">
      <x:c r="A284" s="33" t="str">
        <x:v>ESCA_HSE_02_Core_Operations_Sample_Data.xlsx</x:v>
      </x:c>
      <x:c r="B284" s="33" t="str">
        <x:v>Report_Runs</x:v>
      </x:c>
      <x:c r="C284" s="33" t="str">
        <x:v>output_format</x:v>
      </x:c>
      <x:c r="D284" s="33" t="str">
        <x:v>enum</x:v>
      </x:c>
      <x:c r="E284" s="34" t="b">
        <x:v>1</x:v>
      </x:c>
      <x:c r="F284" s="33" t="str"/>
      <x:c r="G284" s="50" t="str">
        <x:v>Generated format</x:v>
      </x:c>
      <x:c r="H284" s="33" t="str">
        <x:v>PDF</x:v>
      </x:c>
      <x:c r="I284" s="50" t="str"/>
      <x:c r="J284" s="33" t="str">
        <x:v>INTERNAL_SAMPLE</x:v>
      </x:c>
      <x:c r="K284" s="33" t="str">
        <x:v>Member 2</x:v>
      </x:c>
    </x:row>
    <x:row r="285" ht="24" customHeight="1">
      <x:c r="A285" s="33" t="str">
        <x:v>ESCA_HSE_02_Core_Operations_Sample_Data.xlsx</x:v>
      </x:c>
      <x:c r="B285" s="33" t="str">
        <x:v>Report_Runs</x:v>
      </x:c>
      <x:c r="C285" s="33" t="str">
        <x:v>output_ref</x:v>
      </x:c>
      <x:c r="D285" s="33" t="str">
        <x:v>text</x:v>
      </x:c>
      <x:c r="E285" s="34" t="b">
        <x:v>0</x:v>
      </x:c>
      <x:c r="F285" s="33" t="str"/>
      <x:c r="G285" s="50" t="str">
        <x:v>Synthetic output reference</x:v>
      </x:c>
      <x:c r="H285" s="33" t="str">
        <x:v>reports/synthetic/RRN-001.pdf</x:v>
      </x:c>
      <x:c r="I285" s="50" t="str"/>
      <x:c r="J285" s="33" t="str">
        <x:v>INTERNAL_SAMPLE</x:v>
      </x:c>
      <x:c r="K285" s="33" t="str">
        <x:v>Member 2</x:v>
      </x:c>
    </x:row>
    <x:row r="286" ht="24" customHeight="1">
      <x:c r="A286" s="33" t="str">
        <x:v>ESCA_HSE_02_Core_Operations_Sample_Data.xlsx</x:v>
      </x:c>
      <x:c r="B286" s="33" t="str">
        <x:v>Report_Runs</x:v>
      </x:c>
      <x:c r="C286" s="33" t="str">
        <x:v>row_count</x:v>
      </x:c>
      <x:c r="D286" s="33" t="str">
        <x:v>integer</x:v>
      </x:c>
      <x:c r="E286" s="34" t="b">
        <x:v>1</x:v>
      </x:c>
      <x:c r="F286" s="33" t="str"/>
      <x:c r="G286" s="50" t="str">
        <x:v>Rows included</x:v>
      </x:c>
      <x:c r="H286" s="33" t="str">
        <x:v>40</x:v>
      </x:c>
      <x:c r="I286" s="50" t="str"/>
      <x:c r="J286" s="33" t="str">
        <x:v>INTERNAL_SAMPLE</x:v>
      </x:c>
      <x:c r="K286" s="33" t="str">
        <x:v>Member 2</x:v>
      </x:c>
    </x:row>
    <x:row r="287" ht="24" customHeight="1">
      <x:c r="A287" s="33" t="str">
        <x:v>ESCA_HSE_02_Core_Operations_Sample_Data.xlsx</x:v>
      </x:c>
      <x:c r="B287" s="33" t="str">
        <x:v>Report_Runs</x:v>
      </x:c>
      <x:c r="C287" s="33" t="str">
        <x:v>error_code</x:v>
      </x:c>
      <x:c r="D287" s="33" t="str">
        <x:v>text</x:v>
      </x:c>
      <x:c r="E287" s="34" t="b">
        <x:v>0</x:v>
      </x:c>
      <x:c r="F287" s="33" t="str"/>
      <x:c r="G287" s="50" t="str">
        <x:v>Non-sensitive error code</x:v>
      </x:c>
      <x:c r="H287" s="33" t="str">
        <x:v>DEMO_EXPORT_TIMEOUT</x:v>
      </x:c>
      <x:c r="I287" s="50" t="str"/>
      <x:c r="J287" s="33" t="str">
        <x:v>INTERNAL_SAMPLE</x:v>
      </x:c>
      <x:c r="K287" s="33" t="str">
        <x:v>Member 2</x:v>
      </x:c>
    </x:row>
    <x:row r="288" ht="24" customHeight="1">
      <x:c r="A288" s="33" t="str">
        <x:v>ESCA_HSE_03_Assets_Training_Health_Sample_Data.xlsx</x:v>
      </x:c>
      <x:c r="B288" s="33" t="str">
        <x:v>Training_Courses</x:v>
      </x:c>
      <x:c r="C288" s="33" t="str">
        <x:v>course_id</x:v>
      </x:c>
      <x:c r="D288" s="33" t="str">
        <x:v>id</x:v>
      </x:c>
      <x:c r="E288" s="34" t="b">
        <x:v>1</x:v>
      </x:c>
      <x:c r="F288" s="33" t="str">
        <x:v>PK</x:v>
      </x:c>
      <x:c r="G288" s="50" t="str">
        <x:v>Course identifier</x:v>
      </x:c>
      <x:c r="H288" s="33" t="str">
        <x:v>CRS-GEN</x:v>
      </x:c>
      <x:c r="I288" s="50" t="str"/>
      <x:c r="J288" s="33" t="str">
        <x:v>INTERNAL_SAMPLE</x:v>
      </x:c>
      <x:c r="K288" s="33" t="str">
        <x:v>Member 2</x:v>
      </x:c>
    </x:row>
    <x:row r="289" ht="24" customHeight="1">
      <x:c r="A289" s="33" t="str">
        <x:v>ESCA_HSE_03_Assets_Training_Health_Sample_Data.xlsx</x:v>
      </x:c>
      <x:c r="B289" s="33" t="str">
        <x:v>Training_Courses</x:v>
      </x:c>
      <x:c r="C289" s="33" t="str">
        <x:v>name_ar</x:v>
      </x:c>
      <x:c r="D289" s="33" t="str">
        <x:v>text</x:v>
      </x:c>
      <x:c r="E289" s="34" t="b">
        <x:v>1</x:v>
      </x:c>
      <x:c r="F289" s="33" t="str"/>
      <x:c r="G289" s="50" t="str">
        <x:v>Arabic course name</x:v>
      </x:c>
      <x:c r="H289" s="33" t="str">
        <x:v>التوعية العامة بالسلامة</x:v>
      </x:c>
      <x:c r="I289" s="50" t="str"/>
      <x:c r="J289" s="33" t="str">
        <x:v>INTERNAL_SAMPLE</x:v>
      </x:c>
      <x:c r="K289" s="33" t="str">
        <x:v>Member 2</x:v>
      </x:c>
    </x:row>
    <x:row r="290" ht="24" customHeight="1">
      <x:c r="A290" s="33" t="str">
        <x:v>ESCA_HSE_03_Assets_Training_Health_Sample_Data.xlsx</x:v>
      </x:c>
      <x:c r="B290" s="33" t="str">
        <x:v>Training_Courses</x:v>
      </x:c>
      <x:c r="C290" s="33" t="str">
        <x:v>name_en</x:v>
      </x:c>
      <x:c r="D290" s="33" t="str">
        <x:v>text</x:v>
      </x:c>
      <x:c r="E290" s="34" t="b">
        <x:v>1</x:v>
      </x:c>
      <x:c r="F290" s="33" t="str"/>
      <x:c r="G290" s="50" t="str">
        <x:v>English course name</x:v>
      </x:c>
      <x:c r="H290" s="33" t="str">
        <x:v>General Safety Awareness</x:v>
      </x:c>
      <x:c r="I290" s="50" t="str"/>
      <x:c r="J290" s="33" t="str">
        <x:v>INTERNAL_SAMPLE</x:v>
      </x:c>
      <x:c r="K290" s="33" t="str">
        <x:v>Member 2</x:v>
      </x:c>
    </x:row>
    <x:row r="291" ht="24" customHeight="1">
      <x:c r="A291" s="33" t="str">
        <x:v>ESCA_HSE_03_Assets_Training_Health_Sample_Data.xlsx</x:v>
      </x:c>
      <x:c r="B291" s="33" t="str">
        <x:v>Training_Courses</x:v>
      </x:c>
      <x:c r="C291" s="33" t="str">
        <x:v>target_group</x:v>
      </x:c>
      <x:c r="D291" s="33" t="str">
        <x:v>enum</x:v>
      </x:c>
      <x:c r="E291" s="34" t="b">
        <x:v>1</x:v>
      </x:c>
      <x:c r="F291" s="33" t="str"/>
      <x:c r="G291" s="50" t="str">
        <x:v>Target employee group</x:v>
      </x:c>
      <x:c r="H291" s="33" t="str">
        <x:v>ALL_EMPLOYEES</x:v>
      </x:c>
      <x:c r="I291" s="50" t="str"/>
      <x:c r="J291" s="33" t="str">
        <x:v>INTERNAL_SAMPLE</x:v>
      </x:c>
      <x:c r="K291" s="33" t="str">
        <x:v>Member 2</x:v>
      </x:c>
    </x:row>
    <x:row r="292" ht="24" customHeight="1">
      <x:c r="A292" s="33" t="str">
        <x:v>ESCA_HSE_03_Assets_Training_Health_Sample_Data.xlsx</x:v>
      </x:c>
      <x:c r="B292" s="33" t="str">
        <x:v>Training_Courses</x:v>
      </x:c>
      <x:c r="C292" s="33" t="str">
        <x:v>validity_months</x:v>
      </x:c>
      <x:c r="D292" s="33" t="str">
        <x:v>integer</x:v>
      </x:c>
      <x:c r="E292" s="34" t="b">
        <x:v>1</x:v>
      </x:c>
      <x:c r="F292" s="33" t="str"/>
      <x:c r="G292" s="50" t="str">
        <x:v>Certificate validity months</x:v>
      </x:c>
      <x:c r="H292" s="33" t="str">
        <x:v>12</x:v>
      </x:c>
      <x:c r="I292" s="50" t="str"/>
      <x:c r="J292" s="33" t="str">
        <x:v>INTERNAL_SAMPLE</x:v>
      </x:c>
      <x:c r="K292" s="33" t="str">
        <x:v>Member 2</x:v>
      </x:c>
    </x:row>
    <x:row r="293" ht="24" customHeight="1">
      <x:c r="A293" s="33" t="str">
        <x:v>ESCA_HSE_03_Assets_Training_Health_Sample_Data.xlsx</x:v>
      </x:c>
      <x:c r="B293" s="33" t="str">
        <x:v>Training_Courses</x:v>
      </x:c>
      <x:c r="C293" s="33" t="str">
        <x:v>mandatory_flag</x:v>
      </x:c>
      <x:c r="D293" s="33" t="str">
        <x:v>boolean</x:v>
      </x:c>
      <x:c r="E293" s="34" t="b">
        <x:v>1</x:v>
      </x:c>
      <x:c r="F293" s="33" t="str"/>
      <x:c r="G293" s="50" t="str">
        <x:v>Mandatory course</x:v>
      </x:c>
      <x:c r="H293" s="33" t="str">
        <x:v>true</x:v>
      </x:c>
      <x:c r="I293" s="50" t="str"/>
      <x:c r="J293" s="33" t="str">
        <x:v>INTERNAL_SAMPLE</x:v>
      </x:c>
      <x:c r="K293" s="33" t="str">
        <x:v>Member 2</x:v>
      </x:c>
    </x:row>
    <x:row r="294" ht="24" customHeight="1">
      <x:c r="A294" s="33" t="str">
        <x:v>ESCA_HSE_03_Assets_Training_Health_Sample_Data.xlsx</x:v>
      </x:c>
      <x:c r="B294" s="33" t="str">
        <x:v>Training_Courses</x:v>
      </x:c>
      <x:c r="C294" s="33" t="str">
        <x:v>provider</x:v>
      </x:c>
      <x:c r="D294" s="33" t="str">
        <x:v>text</x:v>
      </x:c>
      <x:c r="E294" s="34" t="b">
        <x:v>1</x:v>
      </x:c>
      <x:c r="F294" s="33" t="str"/>
      <x:c r="G294" s="50" t="str">
        <x:v>Training provider</x:v>
      </x:c>
      <x:c r="H294" s="33" t="str">
        <x:v>Internal HSE</x:v>
      </x:c>
      <x:c r="I294" s="50" t="str"/>
      <x:c r="J294" s="33" t="str">
        <x:v>INTERNAL_SAMPLE</x:v>
      </x:c>
      <x:c r="K294" s="33" t="str">
        <x:v>Member 2</x:v>
      </x:c>
    </x:row>
    <x:row r="295" ht="24" customHeight="1">
      <x:c r="A295" s="33" t="str">
        <x:v>ESCA_HSE_03_Assets_Training_Health_Sample_Data.xlsx</x:v>
      </x:c>
      <x:c r="B295" s="33" t="str">
        <x:v>Training_Courses</x:v>
      </x:c>
      <x:c r="C295" s="33" t="str">
        <x:v>active_flag</x:v>
      </x:c>
      <x:c r="D295" s="33" t="str">
        <x:v>boolean</x:v>
      </x:c>
      <x:c r="E295" s="34" t="b">
        <x:v>1</x:v>
      </x:c>
      <x:c r="F295" s="33" t="str"/>
      <x:c r="G295" s="50" t="str">
        <x:v>Course active</x:v>
      </x:c>
      <x:c r="H295" s="33" t="str">
        <x:v>true</x:v>
      </x:c>
      <x:c r="I295" s="50" t="str"/>
      <x:c r="J295" s="33" t="str">
        <x:v>INTERNAL_SAMPLE</x:v>
      </x:c>
      <x:c r="K295" s="33" t="str">
        <x:v>Member 2</x:v>
      </x:c>
    </x:row>
    <x:row r="296" ht="24" customHeight="1">
      <x:c r="A296" s="33" t="str">
        <x:v>ESCA_HSE_03_Assets_Training_Health_Sample_Data.xlsx</x:v>
      </x:c>
      <x:c r="B296" s="33" t="str">
        <x:v>Certificates</x:v>
      </x:c>
      <x:c r="C296" s="33" t="str">
        <x:v>certificate_id</x:v>
      </x:c>
      <x:c r="D296" s="33" t="str">
        <x:v>id</x:v>
      </x:c>
      <x:c r="E296" s="34" t="b">
        <x:v>1</x:v>
      </x:c>
      <x:c r="F296" s="33" t="str">
        <x:v>PK</x:v>
      </x:c>
      <x:c r="G296" s="50" t="str">
        <x:v>Certificate identifier</x:v>
      </x:c>
      <x:c r="H296" s="33" t="str">
        <x:v>CERT-001</x:v>
      </x:c>
      <x:c r="I296" s="50" t="str"/>
      <x:c r="J296" s="33" t="str">
        <x:v>INTERNAL_SAMPLE</x:v>
      </x:c>
      <x:c r="K296" s="33" t="str">
        <x:v>Member 2</x:v>
      </x:c>
    </x:row>
    <x:row r="297" ht="24" customHeight="1">
      <x:c r="A297" s="33" t="str">
        <x:v>ESCA_HSE_03_Assets_Training_Health_Sample_Data.xlsx</x:v>
      </x:c>
      <x:c r="B297" s="33" t="str">
        <x:v>Certificates</x:v>
      </x:c>
      <x:c r="C297" s="33" t="str">
        <x:v>employee_id</x:v>
      </x:c>
      <x:c r="D297" s="33" t="str">
        <x:v>id</x:v>
      </x:c>
      <x:c r="E297" s="34" t="b">
        <x:v>1</x:v>
      </x:c>
      <x:c r="F297" s="33" t="str">
        <x:v>FK -&gt; Employees.employee_id</x:v>
      </x:c>
      <x:c r="G297" s="50" t="str">
        <x:v>Employee</x:v>
      </x:c>
      <x:c r="H297" s="33" t="str">
        <x:v>EMP-021</x:v>
      </x:c>
      <x:c r="I297" s="50" t="str"/>
      <x:c r="J297" s="33" t="str">
        <x:v>INTERNAL_SAMPLE</x:v>
      </x:c>
      <x:c r="K297" s="33" t="str">
        <x:v>Member 2</x:v>
      </x:c>
    </x:row>
    <x:row r="298" ht="24" customHeight="1">
      <x:c r="A298" s="33" t="str">
        <x:v>ESCA_HSE_03_Assets_Training_Health_Sample_Data.xlsx</x:v>
      </x:c>
      <x:c r="B298" s="33" t="str">
        <x:v>Certificates</x:v>
      </x:c>
      <x:c r="C298" s="33" t="str">
        <x:v>course_id</x:v>
      </x:c>
      <x:c r="D298" s="33" t="str">
        <x:v>id</x:v>
      </x:c>
      <x:c r="E298" s="34" t="b">
        <x:v>1</x:v>
      </x:c>
      <x:c r="F298" s="33" t="str">
        <x:v>FK -&gt; Training_Courses.course_id</x:v>
      </x:c>
      <x:c r="G298" s="50" t="str">
        <x:v>Course</x:v>
      </x:c>
      <x:c r="H298" s="33" t="str">
        <x:v>CRS-LOTO</x:v>
      </x:c>
      <x:c r="I298" s="50" t="str"/>
      <x:c r="J298" s="33" t="str">
        <x:v>INTERNAL_SAMPLE</x:v>
      </x:c>
      <x:c r="K298" s="33" t="str">
        <x:v>Member 2</x:v>
      </x:c>
    </x:row>
    <x:row r="299" ht="24" customHeight="1">
      <x:c r="A299" s="33" t="str">
        <x:v>ESCA_HSE_03_Assets_Training_Health_Sample_Data.xlsx</x:v>
      </x:c>
      <x:c r="B299" s="33" t="str">
        <x:v>Certificates</x:v>
      </x:c>
      <x:c r="C299" s="33" t="str">
        <x:v>issue_date</x:v>
      </x:c>
      <x:c r="D299" s="33" t="str">
        <x:v>date</x:v>
      </x:c>
      <x:c r="E299" s="34" t="b">
        <x:v>1</x:v>
      </x:c>
      <x:c r="F299" s="33" t="str"/>
      <x:c r="G299" s="50" t="str">
        <x:v>Issue date</x:v>
      </x:c>
      <x:c r="H299" s="33" t="n">
        <x:v>45524</x:v>
      </x:c>
      <x:c r="I299" s="50" t="str"/>
      <x:c r="J299" s="33" t="str">
        <x:v>INTERNAL_SAMPLE</x:v>
      </x:c>
      <x:c r="K299" s="33" t="str">
        <x:v>Member 2</x:v>
      </x:c>
    </x:row>
    <x:row r="300" ht="24" customHeight="1">
      <x:c r="A300" s="33" t="str">
        <x:v>ESCA_HSE_03_Assets_Training_Health_Sample_Data.xlsx</x:v>
      </x:c>
      <x:c r="B300" s="33" t="str">
        <x:v>Certificates</x:v>
      </x:c>
      <x:c r="C300" s="33" t="str">
        <x:v>expiry_date</x:v>
      </x:c>
      <x:c r="D300" s="33" t="str">
        <x:v>date</x:v>
      </x:c>
      <x:c r="E300" s="34" t="b">
        <x:v>1</x:v>
      </x:c>
      <x:c r="F300" s="33" t="str"/>
      <x:c r="G300" s="50" t="str">
        <x:v>Expiry date</x:v>
      </x:c>
      <x:c r="H300" s="33" t="n">
        <x:v>46254</x:v>
      </x:c>
      <x:c r="I300" s="50" t="str"/>
      <x:c r="J300" s="33" t="str">
        <x:v>INTERNAL_SAMPLE</x:v>
      </x:c>
      <x:c r="K300" s="33" t="str">
        <x:v>Member 2</x:v>
      </x:c>
    </x:row>
    <x:row r="301" ht="24" customHeight="1">
      <x:c r="A301" s="33" t="str">
        <x:v>ESCA_HSE_03_Assets_Training_Health_Sample_Data.xlsx</x:v>
      </x:c>
      <x:c r="B301" s="33" t="str">
        <x:v>Certificates</x:v>
      </x:c>
      <x:c r="C301" s="33" t="str">
        <x:v>status</x:v>
      </x:c>
      <x:c r="D301" s="33" t="str">
        <x:v>enum</x:v>
      </x:c>
      <x:c r="E301" s="34" t="b">
        <x:v>1</x:v>
      </x:c>
      <x:c r="F301" s="33" t="str"/>
      <x:c r="G301" s="50" t="str">
        <x:v>Certificate status</x:v>
      </x:c>
      <x:c r="H301" s="33" t="str">
        <x:v>VALID</x:v>
      </x:c>
      <x:c r="I301" s="50" t="str">
        <x:v>VALID | EXPIRED | RENEWAL_BOOKED | SUSPENDED | REVOKED</x:v>
      </x:c>
      <x:c r="J301" s="33" t="str">
        <x:v>INTERNAL_SAMPLE</x:v>
      </x:c>
      <x:c r="K301" s="33" t="str">
        <x:v>Member 2</x:v>
      </x:c>
    </x:row>
    <x:row r="302" ht="24" customHeight="1">
      <x:c r="A302" s="33" t="str">
        <x:v>ESCA_HSE_03_Assets_Training_Health_Sample_Data.xlsx</x:v>
      </x:c>
      <x:c r="B302" s="33" t="str">
        <x:v>Certificates</x:v>
      </x:c>
      <x:c r="C302" s="33" t="str">
        <x:v>evidence_ref</x:v>
      </x:c>
      <x:c r="D302" s="33" t="str">
        <x:v>text</x:v>
      </x:c>
      <x:c r="E302" s="34" t="b">
        <x:v>1</x:v>
      </x:c>
      <x:c r="F302" s="33" t="str"/>
      <x:c r="G302" s="50" t="str">
        <x:v>Synthetic evidence reference</x:v>
      </x:c>
      <x:c r="H302" s="33" t="str">
        <x:v>training/cert-001.pdf</x:v>
      </x:c>
      <x:c r="I302" s="50" t="str"/>
      <x:c r="J302" s="33" t="str">
        <x:v>INTERNAL_SAMPLE</x:v>
      </x:c>
      <x:c r="K302" s="33" t="str">
        <x:v>Member 2</x:v>
      </x:c>
    </x:row>
    <x:row r="303" ht="24" customHeight="1">
      <x:c r="A303" s="33" t="str">
        <x:v>ESCA_HSE_03_Assets_Training_Health_Sample_Data.xlsx</x:v>
      </x:c>
      <x:c r="B303" s="33" t="str">
        <x:v>Certificates</x:v>
      </x:c>
      <x:c r="C303" s="33" t="str">
        <x:v>manager_id</x:v>
      </x:c>
      <x:c r="D303" s="33" t="str">
        <x:v>id</x:v>
      </x:c>
      <x:c r="E303" s="34" t="b">
        <x:v>1</x:v>
      </x:c>
      <x:c r="F303" s="33" t="str">
        <x:v>FK -&gt; Employees.employee_id</x:v>
      </x:c>
      <x:c r="G303" s="50" t="str">
        <x:v>Manager</x:v>
      </x:c>
      <x:c r="H303" s="33" t="str">
        <x:v>EMP-015</x:v>
      </x:c>
      <x:c r="I303" s="50" t="str"/>
      <x:c r="J303" s="33" t="str">
        <x:v>INTERNAL_SAMPLE</x:v>
      </x:c>
      <x:c r="K303" s="33" t="str">
        <x:v>Member 2</x:v>
      </x:c>
    </x:row>
    <x:row r="304" ht="24" customHeight="1">
      <x:c r="A304" s="33" t="str">
        <x:v>ESCA_HSE_03_Assets_Training_Health_Sample_Data.xlsx</x:v>
      </x:c>
      <x:c r="B304" s="33" t="str">
        <x:v>Certificates</x:v>
      </x:c>
      <x:c r="C304" s="33" t="str">
        <x:v>days_to_expiry</x:v>
      </x:c>
      <x:c r="D304" s="33" t="str">
        <x:v>formula</x:v>
      </x:c>
      <x:c r="E304" s="34" t="b">
        <x:v>1</x:v>
      </x:c>
      <x:c r="F304" s="33" t="str"/>
      <x:c r="G304" s="50" t="str">
        <x:v>Derived days to expiry</x:v>
      </x:c>
      <x:c r="H304" s="33" t="str">
        <x:v>Formula-derived</x:v>
      </x:c>
      <x:c r="I304" s="50" t="str"/>
      <x:c r="J304" s="33" t="str">
        <x:v>INTERNAL_SAMPLE</x:v>
      </x:c>
      <x:c r="K304" s="33" t="str">
        <x:v>Member 2</x:v>
      </x:c>
    </x:row>
    <x:row r="305" ht="24" customHeight="1">
      <x:c r="A305" s="33" t="str">
        <x:v>ESCA_HSE_03_Assets_Training_Health_Sample_Data.xlsx</x:v>
      </x:c>
      <x:c r="B305" s="33" t="str">
        <x:v>Certificates</x:v>
      </x:c>
      <x:c r="C305" s="33" t="str">
        <x:v>automation_flag</x:v>
      </x:c>
      <x:c r="D305" s="33" t="str">
        <x:v>formula</x:v>
      </x:c>
      <x:c r="E305" s="34" t="b">
        <x:v>1</x:v>
      </x:c>
      <x:c r="F305" s="33" t="str"/>
      <x:c r="G305" s="50" t="str">
        <x:v>Derived certificate automation stage</x:v>
      </x:c>
      <x:c r="H305" s="33" t="str">
        <x:v>Formula-derived</x:v>
      </x:c>
      <x:c r="I305" s="50" t="str"/>
      <x:c r="J305" s="33" t="str">
        <x:v>INTERNAL_SAMPLE</x:v>
      </x:c>
      <x:c r="K305" s="33" t="str">
        <x:v>Member 2</x:v>
      </x:c>
    </x:row>
    <x:row r="306" ht="24" customHeight="1">
      <x:c r="A306" s="33" t="str">
        <x:v>ESCA_HSE_03_Assets_Training_Health_Sample_Data.xlsx</x:v>
      </x:c>
      <x:c r="B306" s="33" t="str">
        <x:v>PPE_Inventory</x:v>
      </x:c>
      <x:c r="C306" s="33" t="str">
        <x:v>ppe_item_id</x:v>
      </x:c>
      <x:c r="D306" s="33" t="str">
        <x:v>id</x:v>
      </x:c>
      <x:c r="E306" s="34" t="b">
        <x:v>1</x:v>
      </x:c>
      <x:c r="F306" s="33" t="str">
        <x:v>PK</x:v>
      </x:c>
      <x:c r="G306" s="50" t="str">
        <x:v>PPE item identifier</x:v>
      </x:c>
      <x:c r="H306" s="33" t="str">
        <x:v>PPE-001</x:v>
      </x:c>
      <x:c r="I306" s="50" t="str"/>
      <x:c r="J306" s="33" t="str">
        <x:v>INTERNAL_SAMPLE</x:v>
      </x:c>
      <x:c r="K306" s="33" t="str">
        <x:v>Member 6</x:v>
      </x:c>
    </x:row>
    <x:row r="307" ht="24" customHeight="1">
      <x:c r="A307" s="33" t="str">
        <x:v>ESCA_HSE_03_Assets_Training_Health_Sample_Data.xlsx</x:v>
      </x:c>
      <x:c r="B307" s="33" t="str">
        <x:v>PPE_Inventory</x:v>
      </x:c>
      <x:c r="C307" s="33" t="str">
        <x:v>item_code</x:v>
      </x:c>
      <x:c r="D307" s="33" t="str">
        <x:v>text</x:v>
      </x:c>
      <x:c r="E307" s="34" t="b">
        <x:v>1</x:v>
      </x:c>
      <x:c r="F307" s="33" t="str"/>
      <x:c r="G307" s="50" t="str">
        <x:v>Stock code</x:v>
      </x:c>
      <x:c r="H307" s="33" t="str">
        <x:v>HLM-WHT</x:v>
      </x:c>
      <x:c r="I307" s="50" t="str"/>
      <x:c r="J307" s="33" t="str">
        <x:v>INTERNAL_SAMPLE</x:v>
      </x:c>
      <x:c r="K307" s="33" t="str">
        <x:v>Member 6</x:v>
      </x:c>
    </x:row>
    <x:row r="308" ht="24" customHeight="1">
      <x:c r="A308" s="33" t="str">
        <x:v>ESCA_HSE_03_Assets_Training_Health_Sample_Data.xlsx</x:v>
      </x:c>
      <x:c r="B308" s="33" t="str">
        <x:v>PPE_Inventory</x:v>
      </x:c>
      <x:c r="C308" s="33" t="str">
        <x:v>name_ar</x:v>
      </x:c>
      <x:c r="D308" s="33" t="str">
        <x:v>text</x:v>
      </x:c>
      <x:c r="E308" s="34" t="b">
        <x:v>1</x:v>
      </x:c>
      <x:c r="F308" s="33" t="str"/>
      <x:c r="G308" s="50" t="str">
        <x:v>Arabic item name</x:v>
      </x:c>
      <x:c r="H308" s="33" t="str">
        <x:v>خوذة أمان بيضاء</x:v>
      </x:c>
      <x:c r="I308" s="50" t="str"/>
      <x:c r="J308" s="33" t="str">
        <x:v>INTERNAL_SAMPLE</x:v>
      </x:c>
      <x:c r="K308" s="33" t="str">
        <x:v>Member 6</x:v>
      </x:c>
    </x:row>
    <x:row r="309" ht="24" customHeight="1">
      <x:c r="A309" s="33" t="str">
        <x:v>ESCA_HSE_03_Assets_Training_Health_Sample_Data.xlsx</x:v>
      </x:c>
      <x:c r="B309" s="33" t="str">
        <x:v>PPE_Inventory</x:v>
      </x:c>
      <x:c r="C309" s="33" t="str">
        <x:v>category</x:v>
      </x:c>
      <x:c r="D309" s="33" t="str">
        <x:v>enum</x:v>
      </x:c>
      <x:c r="E309" s="34" t="b">
        <x:v>1</x:v>
      </x:c>
      <x:c r="F309" s="33" t="str"/>
      <x:c r="G309" s="50" t="str">
        <x:v>PPE category</x:v>
      </x:c>
      <x:c r="H309" s="33" t="str">
        <x:v>HEAD</x:v>
      </x:c>
      <x:c r="I309" s="50" t="str"/>
      <x:c r="J309" s="33" t="str">
        <x:v>INTERNAL_SAMPLE</x:v>
      </x:c>
      <x:c r="K309" s="33" t="str">
        <x:v>Member 6</x:v>
      </x:c>
    </x:row>
    <x:row r="310" ht="24" customHeight="1">
      <x:c r="A310" s="33" t="str">
        <x:v>ESCA_HSE_03_Assets_Training_Health_Sample_Data.xlsx</x:v>
      </x:c>
      <x:c r="B310" s="33" t="str">
        <x:v>PPE_Inventory</x:v>
      </x:c>
      <x:c r="C310" s="33" t="str">
        <x:v>unit</x:v>
      </x:c>
      <x:c r="D310" s="33" t="str">
        <x:v>text</x:v>
      </x:c>
      <x:c r="E310" s="34" t="b">
        <x:v>1</x:v>
      </x:c>
      <x:c r="F310" s="33" t="str"/>
      <x:c r="G310" s="50" t="str">
        <x:v>Stock unit</x:v>
      </x:c>
      <x:c r="H310" s="33" t="str">
        <x:v>EA</x:v>
      </x:c>
      <x:c r="I310" s="50" t="str"/>
      <x:c r="J310" s="33" t="str">
        <x:v>INTERNAL_SAMPLE</x:v>
      </x:c>
      <x:c r="K310" s="33" t="str">
        <x:v>Member 6</x:v>
      </x:c>
    </x:row>
    <x:row r="311" ht="24" customHeight="1">
      <x:c r="A311" s="33" t="str">
        <x:v>ESCA_HSE_03_Assets_Training_Health_Sample_Data.xlsx</x:v>
      </x:c>
      <x:c r="B311" s="33" t="str">
        <x:v>PPE_Inventory</x:v>
      </x:c>
      <x:c r="C311" s="33" t="str">
        <x:v>balance_qty</x:v>
      </x:c>
      <x:c r="D311" s="33" t="str">
        <x:v>integer</x:v>
      </x:c>
      <x:c r="E311" s="34" t="b">
        <x:v>1</x:v>
      </x:c>
      <x:c r="F311" s="33" t="str"/>
      <x:c r="G311" s="50" t="str">
        <x:v>Current balance</x:v>
      </x:c>
      <x:c r="H311" s="33" t="str">
        <x:v>84</x:v>
      </x:c>
      <x:c r="I311" s="50" t="str"/>
      <x:c r="J311" s="33" t="str">
        <x:v>INTERNAL_SAMPLE</x:v>
      </x:c>
      <x:c r="K311" s="33" t="str">
        <x:v>Member 6</x:v>
      </x:c>
    </x:row>
    <x:row r="312" ht="24" customHeight="1">
      <x:c r="A312" s="33" t="str">
        <x:v>ESCA_HSE_03_Assets_Training_Health_Sample_Data.xlsx</x:v>
      </x:c>
      <x:c r="B312" s="33" t="str">
        <x:v>PPE_Inventory</x:v>
      </x:c>
      <x:c r="C312" s="33" t="str">
        <x:v>reorder_threshold</x:v>
      </x:c>
      <x:c r="D312" s="33" t="str">
        <x:v>integer</x:v>
      </x:c>
      <x:c r="E312" s="34" t="b">
        <x:v>1</x:v>
      </x:c>
      <x:c r="F312" s="33" t="str"/>
      <x:c r="G312" s="50" t="str">
        <x:v>Reorder threshold</x:v>
      </x:c>
      <x:c r="H312" s="33" t="str">
        <x:v>30</x:v>
      </x:c>
      <x:c r="I312" s="50" t="str"/>
      <x:c r="J312" s="33" t="str">
        <x:v>INTERNAL_SAMPLE</x:v>
      </x:c>
      <x:c r="K312" s="33" t="str">
        <x:v>Member 6</x:v>
      </x:c>
    </x:row>
    <x:row r="313" ht="24" customHeight="1">
      <x:c r="A313" s="33" t="str">
        <x:v>ESCA_HSE_03_Assets_Training_Health_Sample_Data.xlsx</x:v>
      </x:c>
      <x:c r="B313" s="33" t="str">
        <x:v>PPE_Inventory</x:v>
      </x:c>
      <x:c r="C313" s="33" t="str">
        <x:v>monthly_consumption</x:v>
      </x:c>
      <x:c r="D313" s="33" t="str">
        <x:v>integer</x:v>
      </x:c>
      <x:c r="E313" s="34" t="b">
        <x:v>1</x:v>
      </x:c>
      <x:c r="F313" s="33" t="str"/>
      <x:c r="G313" s="50" t="str">
        <x:v>Synthetic monthly usage</x:v>
      </x:c>
      <x:c r="H313" s="33" t="str">
        <x:v>18</x:v>
      </x:c>
      <x:c r="I313" s="50" t="str"/>
      <x:c r="J313" s="33" t="str">
        <x:v>INTERNAL_SAMPLE</x:v>
      </x:c>
      <x:c r="K313" s="33" t="str">
        <x:v>Member 6</x:v>
      </x:c>
    </x:row>
    <x:row r="314" ht="24" customHeight="1">
      <x:c r="A314" s="33" t="str">
        <x:v>ESCA_HSE_03_Assets_Training_Health_Sample_Data.xlsx</x:v>
      </x:c>
      <x:c r="B314" s="33" t="str">
        <x:v>PPE_Inventory</x:v>
      </x:c>
      <x:c r="C314" s="33" t="str">
        <x:v>supplier</x:v>
      </x:c>
      <x:c r="D314" s="33" t="str">
        <x:v>text</x:v>
      </x:c>
      <x:c r="E314" s="34" t="b">
        <x:v>1</x:v>
      </x:c>
      <x:c r="F314" s="33" t="str"/>
      <x:c r="G314" s="50" t="str">
        <x:v>Supplier</x:v>
      </x:c>
      <x:c r="H314" s="33" t="str">
        <x:v>Supplier A</x:v>
      </x:c>
      <x:c r="I314" s="50" t="str"/>
      <x:c r="J314" s="33" t="str">
        <x:v>INTERNAL_SAMPLE</x:v>
      </x:c>
      <x:c r="K314" s="33" t="str">
        <x:v>Member 6</x:v>
      </x:c>
    </x:row>
    <x:row r="315" ht="24" customHeight="1">
      <x:c r="A315" s="33" t="str">
        <x:v>ESCA_HSE_03_Assets_Training_Health_Sample_Data.xlsx</x:v>
      </x:c>
      <x:c r="B315" s="33" t="str">
        <x:v>PPE_Inventory</x:v>
      </x:c>
      <x:c r="C315" s="33" t="str">
        <x:v>storage_zone_id</x:v>
      </x:c>
      <x:c r="D315" s="33" t="str">
        <x:v>id</x:v>
      </x:c>
      <x:c r="E315" s="34" t="b">
        <x:v>1</x:v>
      </x:c>
      <x:c r="F315" s="33" t="str">
        <x:v>FK -&gt; Zones.zone_id</x:v>
      </x:c>
      <x:c r="G315" s="50" t="str">
        <x:v>Storage zone</x:v>
      </x:c>
      <x:c r="H315" s="33" t="str">
        <x:v>ZN-W01</x:v>
      </x:c>
      <x:c r="I315" s="50" t="str"/>
      <x:c r="J315" s="33" t="str">
        <x:v>INTERNAL_SAMPLE</x:v>
      </x:c>
      <x:c r="K315" s="33" t="str">
        <x:v>Member 6</x:v>
      </x:c>
    </x:row>
    <x:row r="316" ht="24" customHeight="1">
      <x:c r="A316" s="33" t="str">
        <x:v>ESCA_HSE_03_Assets_Training_Health_Sample_Data.xlsx</x:v>
      </x:c>
      <x:c r="B316" s="33" t="str">
        <x:v>PPE_Inventory</x:v>
      </x:c>
      <x:c r="C316" s="33" t="str">
        <x:v>stock_status</x:v>
      </x:c>
      <x:c r="D316" s="33" t="str">
        <x:v>formula</x:v>
      </x:c>
      <x:c r="E316" s="34" t="b">
        <x:v>1</x:v>
      </x:c>
      <x:c r="F316" s="33" t="str"/>
      <x:c r="G316" s="50" t="str">
        <x:v>Derived stock status</x:v>
      </x:c>
      <x:c r="H316" s="33" t="str">
        <x:v>Formula-derived</x:v>
      </x:c>
      <x:c r="I316" s="50" t="str"/>
      <x:c r="J316" s="33" t="str">
        <x:v>INTERNAL_SAMPLE</x:v>
      </x:c>
      <x:c r="K316" s="33" t="str">
        <x:v>Member 6</x:v>
      </x:c>
    </x:row>
    <x:row r="317" ht="24" customHeight="1">
      <x:c r="A317" s="33" t="str">
        <x:v>ESCA_HSE_03_Assets_Training_Health_Sample_Data.xlsx</x:v>
      </x:c>
      <x:c r="B317" s="33" t="str">
        <x:v>PPE_Matrix</x:v>
      </x:c>
      <x:c r="C317" s="33" t="str">
        <x:v>matrix_id</x:v>
      </x:c>
      <x:c r="D317" s="33" t="str">
        <x:v>id</x:v>
      </x:c>
      <x:c r="E317" s="34" t="b">
        <x:v>1</x:v>
      </x:c>
      <x:c r="F317" s="33" t="str">
        <x:v>PK</x:v>
      </x:c>
      <x:c r="G317" s="50" t="str">
        <x:v>Requirement row</x:v>
      </x:c>
      <x:c r="H317" s="33" t="str">
        <x:v>PPM-001</x:v>
      </x:c>
      <x:c r="I317" s="50" t="str"/>
      <x:c r="J317" s="33" t="str">
        <x:v>INTERNAL_SAMPLE</x:v>
      </x:c>
      <x:c r="K317" s="33" t="str">
        <x:v>Member 6 / Member 2</x:v>
      </x:c>
    </x:row>
    <x:row r="318" ht="24" customHeight="1">
      <x:c r="A318" s="33" t="str">
        <x:v>ESCA_HSE_03_Assets_Training_Health_Sample_Data.xlsx</x:v>
      </x:c>
      <x:c r="B318" s="33" t="str">
        <x:v>PPE_Matrix</x:v>
      </x:c>
      <x:c r="C318" s="33" t="str">
        <x:v>zone_id</x:v>
      </x:c>
      <x:c r="D318" s="33" t="str">
        <x:v>id</x:v>
      </x:c>
      <x:c r="E318" s="34" t="b">
        <x:v>1</x:v>
      </x:c>
      <x:c r="F318" s="33" t="str">
        <x:v>FK -&gt; Zones.zone_id</x:v>
      </x:c>
      <x:c r="G318" s="50" t="str">
        <x:v>Zone</x:v>
      </x:c>
      <x:c r="H318" s="33" t="str">
        <x:v>ZN-A1</x:v>
      </x:c>
      <x:c r="I318" s="50" t="str"/>
      <x:c r="J318" s="33" t="str">
        <x:v>INTERNAL_SAMPLE</x:v>
      </x:c>
      <x:c r="K318" s="33" t="str">
        <x:v>Member 6 / Member 2</x:v>
      </x:c>
    </x:row>
    <x:row r="319" ht="24" customHeight="1">
      <x:c r="A319" s="33" t="str">
        <x:v>ESCA_HSE_03_Assets_Training_Health_Sample_Data.xlsx</x:v>
      </x:c>
      <x:c r="B319" s="33" t="str">
        <x:v>PPE_Matrix</x:v>
      </x:c>
      <x:c r="C319" s="33" t="str">
        <x:v>ppe_item_id</x:v>
      </x:c>
      <x:c r="D319" s="33" t="str">
        <x:v>id</x:v>
      </x:c>
      <x:c r="E319" s="34" t="b">
        <x:v>1</x:v>
      </x:c>
      <x:c r="F319" s="33" t="str">
        <x:v>FK -&gt; PPE_Inventory.ppe_item_id</x:v>
      </x:c>
      <x:c r="G319" s="50" t="str">
        <x:v>Required item</x:v>
      </x:c>
      <x:c r="H319" s="33" t="str">
        <x:v>PPE-001</x:v>
      </x:c>
      <x:c r="I319" s="50" t="str"/>
      <x:c r="J319" s="33" t="str">
        <x:v>INTERNAL_SAMPLE</x:v>
      </x:c>
      <x:c r="K319" s="33" t="str">
        <x:v>Member 6 / Member 2</x:v>
      </x:c>
    </x:row>
    <x:row r="320" ht="24" customHeight="1">
      <x:c r="A320" s="33" t="str">
        <x:v>ESCA_HSE_03_Assets_Training_Health_Sample_Data.xlsx</x:v>
      </x:c>
      <x:c r="B320" s="33" t="str">
        <x:v>PPE_Matrix</x:v>
      </x:c>
      <x:c r="C320" s="33" t="str">
        <x:v>required_flag</x:v>
      </x:c>
      <x:c r="D320" s="33" t="str">
        <x:v>boolean</x:v>
      </x:c>
      <x:c r="E320" s="34" t="b">
        <x:v>1</x:v>
      </x:c>
      <x:c r="F320" s="33" t="str"/>
      <x:c r="G320" s="50" t="str">
        <x:v>Mandatory in zone</x:v>
      </x:c>
      <x:c r="H320" s="33" t="str">
        <x:v>true</x:v>
      </x:c>
      <x:c r="I320" s="50" t="str"/>
      <x:c r="J320" s="33" t="str">
        <x:v>INTERNAL_SAMPLE</x:v>
      </x:c>
      <x:c r="K320" s="33" t="str">
        <x:v>Member 6 / Member 2</x:v>
      </x:c>
    </x:row>
    <x:row r="321" ht="24" customHeight="1">
      <x:c r="A321" s="33" t="str">
        <x:v>ESCA_HSE_03_Assets_Training_Health_Sample_Data.xlsx</x:v>
      </x:c>
      <x:c r="B321" s="33" t="str">
        <x:v>PPE_Matrix</x:v>
      </x:c>
      <x:c r="C321" s="33" t="str">
        <x:v>notes</x:v>
      </x:c>
      <x:c r="D321" s="33" t="str">
        <x:v>text</x:v>
      </x:c>
      <x:c r="E321" s="34" t="b">
        <x:v>1</x:v>
      </x:c>
      <x:c r="F321" s="33" t="str"/>
      <x:c r="G321" s="50" t="str">
        <x:v>Requirement note</x:v>
      </x:c>
      <x:c r="H321" s="33" t="str">
        <x:v>Minimum entry requirement</x:v>
      </x:c>
      <x:c r="I321" s="50" t="str"/>
      <x:c r="J321" s="33" t="str">
        <x:v>INTERNAL_SAMPLE</x:v>
      </x:c>
      <x:c r="K321" s="33" t="str">
        <x:v>Member 6 / Member 2</x:v>
      </x:c>
    </x:row>
    <x:row r="322" ht="24" customHeight="1">
      <x:c r="A322" s="33" t="str">
        <x:v>ESCA_HSE_03_Assets_Training_Health_Sample_Data.xlsx</x:v>
      </x:c>
      <x:c r="B322" s="33" t="str">
        <x:v>Fire_Equipment</x:v>
      </x:c>
      <x:c r="C322" s="33" t="str">
        <x:v>equipment_id</x:v>
      </x:c>
      <x:c r="D322" s="33" t="str">
        <x:v>id</x:v>
      </x:c>
      <x:c r="E322" s="34" t="b">
        <x:v>1</x:v>
      </x:c>
      <x:c r="F322" s="33" t="str">
        <x:v>PK</x:v>
      </x:c>
      <x:c r="G322" s="50" t="str">
        <x:v>Fire asset identifier</x:v>
      </x:c>
      <x:c r="H322" s="33" t="str">
        <x:v>FE-A-001</x:v>
      </x:c>
      <x:c r="I322" s="50" t="str"/>
      <x:c r="J322" s="33" t="str">
        <x:v>INTERNAL_SAMPLE</x:v>
      </x:c>
      <x:c r="K322" s="33" t="str">
        <x:v>Member 6</x:v>
      </x:c>
    </x:row>
    <x:row r="323" ht="24" customHeight="1">
      <x:c r="A323" s="33" t="str">
        <x:v>ESCA_HSE_03_Assets_Training_Health_Sample_Data.xlsx</x:v>
      </x:c>
      <x:c r="B323" s="33" t="str">
        <x:v>Fire_Equipment</x:v>
      </x:c>
      <x:c r="C323" s="33" t="str">
        <x:v>asset_type</x:v>
      </x:c>
      <x:c r="D323" s="33" t="str">
        <x:v>enum</x:v>
      </x:c>
      <x:c r="E323" s="34" t="b">
        <x:v>1</x:v>
      </x:c>
      <x:c r="F323" s="33" t="str"/>
      <x:c r="G323" s="50" t="str">
        <x:v>Asset category</x:v>
      </x:c>
      <x:c r="H323" s="33" t="str">
        <x:v>EXTINGUISHER</x:v>
      </x:c>
      <x:c r="I323" s="50" t="str"/>
      <x:c r="J323" s="33" t="str">
        <x:v>INTERNAL_SAMPLE</x:v>
      </x:c>
      <x:c r="K323" s="33" t="str">
        <x:v>Member 6</x:v>
      </x:c>
    </x:row>
    <x:row r="324" ht="24" customHeight="1">
      <x:c r="A324" s="33" t="str">
        <x:v>ESCA_HSE_03_Assets_Training_Health_Sample_Data.xlsx</x:v>
      </x:c>
      <x:c r="B324" s="33" t="str">
        <x:v>Fire_Equipment</x:v>
      </x:c>
      <x:c r="C324" s="33" t="str">
        <x:v>subtype</x:v>
      </x:c>
      <x:c r="D324" s="33" t="str">
        <x:v>enum</x:v>
      </x:c>
      <x:c r="E324" s="34" t="b">
        <x:v>1</x:v>
      </x:c>
      <x:c r="F324" s="33" t="str"/>
      <x:c r="G324" s="50" t="str">
        <x:v>Extinguisher/fire asset type</x:v>
      </x:c>
      <x:c r="H324" s="33" t="str">
        <x:v>DRY_POWDER</x:v>
      </x:c>
      <x:c r="I324" s="50" t="str"/>
      <x:c r="J324" s="33" t="str">
        <x:v>INTERNAL_SAMPLE</x:v>
      </x:c>
      <x:c r="K324" s="33" t="str">
        <x:v>Member 6</x:v>
      </x:c>
    </x:row>
    <x:row r="325" ht="24" customHeight="1">
      <x:c r="A325" s="33" t="str">
        <x:v>ESCA_HSE_03_Assets_Training_Health_Sample_Data.xlsx</x:v>
      </x:c>
      <x:c r="B325" s="33" t="str">
        <x:v>Fire_Equipment</x:v>
      </x:c>
      <x:c r="C325" s="33" t="str">
        <x:v>department_id</x:v>
      </x:c>
      <x:c r="D325" s="33" t="str">
        <x:v>id</x:v>
      </x:c>
      <x:c r="E325" s="34" t="b">
        <x:v>1</x:v>
      </x:c>
      <x:c r="F325" s="33" t="str">
        <x:v>FK -&gt; Departments.department_id</x:v>
      </x:c>
      <x:c r="G325" s="50" t="str">
        <x:v>Department</x:v>
      </x:c>
      <x:c r="H325" s="33" t="str">
        <x:v>DEP-PROD-A</x:v>
      </x:c>
      <x:c r="I325" s="50" t="str"/>
      <x:c r="J325" s="33" t="str">
        <x:v>INTERNAL_SAMPLE</x:v>
      </x:c>
      <x:c r="K325" s="33" t="str">
        <x:v>Member 6</x:v>
      </x:c>
    </x:row>
    <x:row r="326" ht="24" customHeight="1">
      <x:c r="A326" s="33" t="str">
        <x:v>ESCA_HSE_03_Assets_Training_Health_Sample_Data.xlsx</x:v>
      </x:c>
      <x:c r="B326" s="33" t="str">
        <x:v>Fire_Equipment</x:v>
      </x:c>
      <x:c r="C326" s="33" t="str">
        <x:v>zone_id</x:v>
      </x:c>
      <x:c r="D326" s="33" t="str">
        <x:v>id</x:v>
      </x:c>
      <x:c r="E326" s="34" t="b">
        <x:v>1</x:v>
      </x:c>
      <x:c r="F326" s="33" t="str">
        <x:v>FK -&gt; Zones.zone_id</x:v>
      </x:c>
      <x:c r="G326" s="50" t="str">
        <x:v>Zone</x:v>
      </x:c>
      <x:c r="H326" s="33" t="str">
        <x:v>ZN-A1</x:v>
      </x:c>
      <x:c r="I326" s="50" t="str"/>
      <x:c r="J326" s="33" t="str">
        <x:v>INTERNAL_SAMPLE</x:v>
      </x:c>
      <x:c r="K326" s="33" t="str">
        <x:v>Member 6</x:v>
      </x:c>
    </x:row>
    <x:row r="327" ht="24" customHeight="1">
      <x:c r="A327" s="33" t="str">
        <x:v>ESCA_HSE_03_Assets_Training_Health_Sample_Data.xlsx</x:v>
      </x:c>
      <x:c r="B327" s="33" t="str">
        <x:v>Fire_Equipment</x:v>
      </x:c>
      <x:c r="C327" s="33" t="str">
        <x:v>location_detail</x:v>
      </x:c>
      <x:c r="D327" s="33" t="str">
        <x:v>text</x:v>
      </x:c>
      <x:c r="E327" s="34" t="b">
        <x:v>1</x:v>
      </x:c>
      <x:c r="F327" s="33" t="str"/>
      <x:c r="G327" s="50" t="str">
        <x:v>Detailed physical location</x:v>
      </x:c>
      <x:c r="H327" s="33" t="str">
        <x:v>Main entrance gate</x:v>
      </x:c>
      <x:c r="I327" s="50" t="str"/>
      <x:c r="J327" s="33" t="str">
        <x:v>INTERNAL_SAMPLE</x:v>
      </x:c>
      <x:c r="K327" s="33" t="str">
        <x:v>Member 6</x:v>
      </x:c>
    </x:row>
    <x:row r="328" ht="24" customHeight="1">
      <x:c r="A328" s="33" t="str">
        <x:v>ESCA_HSE_03_Assets_Training_Health_Sample_Data.xlsx</x:v>
      </x:c>
      <x:c r="B328" s="33" t="str">
        <x:v>Fire_Equipment</x:v>
      </x:c>
      <x:c r="C328" s="33" t="str">
        <x:v>capacity</x:v>
      </x:c>
      <x:c r="D328" s="33" t="str">
        <x:v>text</x:v>
      </x:c>
      <x:c r="E328" s="34" t="b">
        <x:v>1</x:v>
      </x:c>
      <x:c r="F328" s="33" t="str"/>
      <x:c r="G328" s="50" t="str">
        <x:v>Capacity with unit</x:v>
      </x:c>
      <x:c r="H328" s="33" t="str">
        <x:v>6 kg</x:v>
      </x:c>
      <x:c r="I328" s="50" t="str"/>
      <x:c r="J328" s="33" t="str">
        <x:v>INTERNAL_SAMPLE</x:v>
      </x:c>
      <x:c r="K328" s="33" t="str">
        <x:v>Member 6</x:v>
      </x:c>
    </x:row>
    <x:row r="329" ht="24" customHeight="1">
      <x:c r="A329" s="33" t="str">
        <x:v>ESCA_HSE_03_Assets_Training_Health_Sample_Data.xlsx</x:v>
      </x:c>
      <x:c r="B329" s="33" t="str">
        <x:v>Fire_Equipment</x:v>
      </x:c>
      <x:c r="C329" s="33" t="str">
        <x:v>installation_date</x:v>
      </x:c>
      <x:c r="D329" s="33" t="str">
        <x:v>date</x:v>
      </x:c>
      <x:c r="E329" s="34" t="b">
        <x:v>1</x:v>
      </x:c>
      <x:c r="F329" s="33" t="str"/>
      <x:c r="G329" s="50" t="str">
        <x:v>Installation date</x:v>
      </x:c>
      <x:c r="H329" s="33" t="n">
        <x:v>44986</x:v>
      </x:c>
      <x:c r="I329" s="50" t="str"/>
      <x:c r="J329" s="33" t="str">
        <x:v>INTERNAL_SAMPLE</x:v>
      </x:c>
      <x:c r="K329" s="33" t="str">
        <x:v>Member 6</x:v>
      </x:c>
    </x:row>
    <x:row r="330" ht="24" customHeight="1">
      <x:c r="A330" s="33" t="str">
        <x:v>ESCA_HSE_03_Assets_Training_Health_Sample_Data.xlsx</x:v>
      </x:c>
      <x:c r="B330" s="33" t="str">
        <x:v>Fire_Equipment</x:v>
      </x:c>
      <x:c r="C330" s="33" t="str">
        <x:v>expiry_date</x:v>
      </x:c>
      <x:c r="D330" s="33" t="str">
        <x:v>date</x:v>
      </x:c>
      <x:c r="E330" s="34" t="b">
        <x:v>1</x:v>
      </x:c>
      <x:c r="F330" s="33" t="str"/>
      <x:c r="G330" s="50" t="str">
        <x:v>Expiry date</x:v>
      </x:c>
      <x:c r="H330" s="33" t="n">
        <x:v>46447</x:v>
      </x:c>
      <x:c r="I330" s="50" t="str"/>
      <x:c r="J330" s="33" t="str">
        <x:v>INTERNAL_SAMPLE</x:v>
      </x:c>
      <x:c r="K330" s="33" t="str">
        <x:v>Member 6</x:v>
      </x:c>
    </x:row>
    <x:row r="331" ht="24" customHeight="1">
      <x:c r="A331" s="33" t="str">
        <x:v>ESCA_HSE_03_Assets_Training_Health_Sample_Data.xlsx</x:v>
      </x:c>
      <x:c r="B331" s="33" t="str">
        <x:v>Fire_Equipment</x:v>
      </x:c>
      <x:c r="C331" s="33" t="str">
        <x:v>last_inspection_date</x:v>
      </x:c>
      <x:c r="D331" s="33" t="str">
        <x:v>date</x:v>
      </x:c>
      <x:c r="E331" s="34" t="b">
        <x:v>1</x:v>
      </x:c>
      <x:c r="F331" s="33" t="str"/>
      <x:c r="G331" s="50" t="str">
        <x:v>Last inspection</x:v>
      </x:c>
      <x:c r="H331" s="33" t="n">
        <x:v>46235</x:v>
      </x:c>
      <x:c r="I331" s="50" t="str"/>
      <x:c r="J331" s="33" t="str">
        <x:v>INTERNAL_SAMPLE</x:v>
      </x:c>
      <x:c r="K331" s="33" t="str">
        <x:v>Member 6</x:v>
      </x:c>
    </x:row>
    <x:row r="332" ht="24" customHeight="1">
      <x:c r="A332" s="33" t="str">
        <x:v>ESCA_HSE_03_Assets_Training_Health_Sample_Data.xlsx</x:v>
      </x:c>
      <x:c r="B332" s="33" t="str">
        <x:v>Fire_Equipment</x:v>
      </x:c>
      <x:c r="C332" s="33" t="str">
        <x:v>next_inspection_date</x:v>
      </x:c>
      <x:c r="D332" s="33" t="str">
        <x:v>date</x:v>
      </x:c>
      <x:c r="E332" s="34" t="b">
        <x:v>1</x:v>
      </x:c>
      <x:c r="F332" s="33" t="str"/>
      <x:c r="G332" s="50" t="str">
        <x:v>Next inspection</x:v>
      </x:c>
      <x:c r="H332" s="33" t="n">
        <x:v>46266</x:v>
      </x:c>
      <x:c r="I332" s="50" t="str"/>
      <x:c r="J332" s="33" t="str">
        <x:v>INTERNAL_SAMPLE</x:v>
      </x:c>
      <x:c r="K332" s="33" t="str">
        <x:v>Member 6</x:v>
      </x:c>
    </x:row>
    <x:row r="333" ht="24" customHeight="1">
      <x:c r="A333" s="33" t="str">
        <x:v>ESCA_HSE_03_Assets_Training_Health_Sample_Data.xlsx</x:v>
      </x:c>
      <x:c r="B333" s="33" t="str">
        <x:v>Fire_Equipment</x:v>
      </x:c>
      <x:c r="C333" s="33" t="str">
        <x:v>status</x:v>
      </x:c>
      <x:c r="D333" s="33" t="str">
        <x:v>enum</x:v>
      </x:c>
      <x:c r="E333" s="34" t="b">
        <x:v>1</x:v>
      </x:c>
      <x:c r="F333" s="33" t="str"/>
      <x:c r="G333" s="50" t="str">
        <x:v>Asset status</x:v>
      </x:c>
      <x:c r="H333" s="33" t="str">
        <x:v>VALID</x:v>
      </x:c>
      <x:c r="I333" s="50" t="str">
        <x:v>VALID | DUE_SOON | ACTION_REQUIRED | EXPIRED | OUT_OF_SERVICE</x:v>
      </x:c>
      <x:c r="J333" s="33" t="str">
        <x:v>INTERNAL_SAMPLE</x:v>
      </x:c>
      <x:c r="K333" s="33" t="str">
        <x:v>Member 6</x:v>
      </x:c>
    </x:row>
    <x:row r="334" ht="24" customHeight="1">
      <x:c r="A334" s="33" t="str">
        <x:v>ESCA_HSE_03_Assets_Training_Health_Sample_Data.xlsx</x:v>
      </x:c>
      <x:c r="B334" s="33" t="str">
        <x:v>Fire_Equipment</x:v>
      </x:c>
      <x:c r="C334" s="33" t="str">
        <x:v>vendor</x:v>
      </x:c>
      <x:c r="D334" s="33" t="str">
        <x:v>text</x:v>
      </x:c>
      <x:c r="E334" s="34" t="b">
        <x:v>1</x:v>
      </x:c>
      <x:c r="F334" s="33" t="str"/>
      <x:c r="G334" s="50" t="str">
        <x:v>Service vendor</x:v>
      </x:c>
      <x:c r="H334" s="33" t="str">
        <x:v>Certified Fire Vendor</x:v>
      </x:c>
      <x:c r="I334" s="50" t="str"/>
      <x:c r="J334" s="33" t="str">
        <x:v>INTERNAL_SAMPLE</x:v>
      </x:c>
      <x:c r="K334" s="33" t="str">
        <x:v>Member 6</x:v>
      </x:c>
    </x:row>
    <x:row r="335" ht="24" customHeight="1">
      <x:c r="A335" s="33" t="str">
        <x:v>ESCA_HSE_03_Assets_Training_Health_Sample_Data.xlsx</x:v>
      </x:c>
      <x:c r="B335" s="33" t="str">
        <x:v>Fire_Equipment</x:v>
      </x:c>
      <x:c r="C335" s="33" t="str">
        <x:v>qr_code</x:v>
      </x:c>
      <x:c r="D335" s="33" t="str">
        <x:v>text</x:v>
      </x:c>
      <x:c r="E335" s="34" t="b">
        <x:v>1</x:v>
      </x:c>
      <x:c r="F335" s="33" t="str"/>
      <x:c r="G335" s="50" t="str">
        <x:v>QR identifier</x:v>
      </x:c>
      <x:c r="H335" s="33" t="str">
        <x:v>QR-FE-A-001</x:v>
      </x:c>
      <x:c r="I335" s="50" t="str"/>
      <x:c r="J335" s="33" t="str">
        <x:v>INTERNAL_SAMPLE</x:v>
      </x:c>
      <x:c r="K335" s="33" t="str">
        <x:v>Member 6</x:v>
      </x:c>
    </x:row>
    <x:row r="336" ht="24" customHeight="1">
      <x:c r="A336" s="33" t="str">
        <x:v>ESCA_HSE_03_Assets_Training_Health_Sample_Data.xlsx</x:v>
      </x:c>
      <x:c r="B336" s="33" t="str">
        <x:v>Fire_Inspections</x:v>
      </x:c>
      <x:c r="C336" s="33" t="str">
        <x:v>fire_inspection_id</x:v>
      </x:c>
      <x:c r="D336" s="33" t="str">
        <x:v>id</x:v>
      </x:c>
      <x:c r="E336" s="34" t="b">
        <x:v>1</x:v>
      </x:c>
      <x:c r="F336" s="33" t="str">
        <x:v>PK</x:v>
      </x:c>
      <x:c r="G336" s="50" t="str">
        <x:v>Inspection identifier</x:v>
      </x:c>
      <x:c r="H336" s="33" t="str">
        <x:v>FINSP-001</x:v>
      </x:c>
      <x:c r="I336" s="50" t="str"/>
      <x:c r="J336" s="33" t="str">
        <x:v>INTERNAL_SAMPLE</x:v>
      </x:c>
      <x:c r="K336" s="33" t="str">
        <x:v>Member 6</x:v>
      </x:c>
    </x:row>
    <x:row r="337" ht="24" customHeight="1">
      <x:c r="A337" s="33" t="str">
        <x:v>ESCA_HSE_03_Assets_Training_Health_Sample_Data.xlsx</x:v>
      </x:c>
      <x:c r="B337" s="33" t="str">
        <x:v>Fire_Inspections</x:v>
      </x:c>
      <x:c r="C337" s="33" t="str">
        <x:v>equipment_id</x:v>
      </x:c>
      <x:c r="D337" s="33" t="str">
        <x:v>id</x:v>
      </x:c>
      <x:c r="E337" s="34" t="b">
        <x:v>1</x:v>
      </x:c>
      <x:c r="F337" s="33" t="str">
        <x:v>FK -&gt; Fire_Equipment.equipment_id</x:v>
      </x:c>
      <x:c r="G337" s="50" t="str">
        <x:v>Inspected asset</x:v>
      </x:c>
      <x:c r="H337" s="33" t="str">
        <x:v>FE-A-001</x:v>
      </x:c>
      <x:c r="I337" s="50" t="str"/>
      <x:c r="J337" s="33" t="str">
        <x:v>INTERNAL_SAMPLE</x:v>
      </x:c>
      <x:c r="K337" s="33" t="str">
        <x:v>Member 6</x:v>
      </x:c>
    </x:row>
    <x:row r="338" ht="24" customHeight="1">
      <x:c r="A338" s="33" t="str">
        <x:v>ESCA_HSE_03_Assets_Training_Health_Sample_Data.xlsx</x:v>
      </x:c>
      <x:c r="B338" s="33" t="str">
        <x:v>Fire_Inspections</x:v>
      </x:c>
      <x:c r="C338" s="33" t="str">
        <x:v>inspected_at</x:v>
      </x:c>
      <x:c r="D338" s="33" t="str">
        <x:v>datetime</x:v>
      </x:c>
      <x:c r="E338" s="34" t="b">
        <x:v>1</x:v>
      </x:c>
      <x:c r="F338" s="33" t="str"/>
      <x:c r="G338" s="50" t="str">
        <x:v>Inspection timestamp</x:v>
      </x:c>
      <x:c r="H338" s="33" t="n">
        <x:v>46235.25</x:v>
      </x:c>
      <x:c r="I338" s="50" t="str"/>
      <x:c r="J338" s="33" t="str">
        <x:v>INTERNAL_SAMPLE</x:v>
      </x:c>
      <x:c r="K338" s="33" t="str">
        <x:v>Member 6</x:v>
      </x:c>
    </x:row>
    <x:row r="339" ht="24" customHeight="1">
      <x:c r="A339" s="33" t="str">
        <x:v>ESCA_HSE_03_Assets_Training_Health_Sample_Data.xlsx</x:v>
      </x:c>
      <x:c r="B339" s="33" t="str">
        <x:v>Fire_Inspections</x:v>
      </x:c>
      <x:c r="C339" s="33" t="str">
        <x:v>inspector_id</x:v>
      </x:c>
      <x:c r="D339" s="33" t="str">
        <x:v>id</x:v>
      </x:c>
      <x:c r="E339" s="34" t="b">
        <x:v>1</x:v>
      </x:c>
      <x:c r="F339" s="33" t="str">
        <x:v>FK -&gt; Employees.employee_id</x:v>
      </x:c>
      <x:c r="G339" s="50" t="str">
        <x:v>Inspector</x:v>
      </x:c>
      <x:c r="H339" s="33" t="str">
        <x:v>EMP-010</x:v>
      </x:c>
      <x:c r="I339" s="50" t="str"/>
      <x:c r="J339" s="33" t="str">
        <x:v>INTERNAL_SAMPLE</x:v>
      </x:c>
      <x:c r="K339" s="33" t="str">
        <x:v>Member 6</x:v>
      </x:c>
    </x:row>
    <x:row r="340" ht="24" customHeight="1">
      <x:c r="A340" s="33" t="str">
        <x:v>ESCA_HSE_03_Assets_Training_Health_Sample_Data.xlsx</x:v>
      </x:c>
      <x:c r="B340" s="33" t="str">
        <x:v>Fire_Inspections</x:v>
      </x:c>
      <x:c r="C340" s="33" t="str">
        <x:v>present_flag</x:v>
      </x:c>
      <x:c r="D340" s="33" t="str">
        <x:v>boolean</x:v>
      </x:c>
      <x:c r="E340" s="34" t="b">
        <x:v>1</x:v>
      </x:c>
      <x:c r="F340" s="33" t="str"/>
      <x:c r="G340" s="50" t="str">
        <x:v>Asset present</x:v>
      </x:c>
      <x:c r="H340" s="33" t="str">
        <x:v>true</x:v>
      </x:c>
      <x:c r="I340" s="50" t="str"/>
      <x:c r="J340" s="33" t="str">
        <x:v>INTERNAL_SAMPLE</x:v>
      </x:c>
      <x:c r="K340" s="33" t="str">
        <x:v>Member 6</x:v>
      </x:c>
    </x:row>
    <x:row r="341" ht="24" customHeight="1">
      <x:c r="A341" s="33" t="str">
        <x:v>ESCA_HSE_03_Assets_Training_Health_Sample_Data.xlsx</x:v>
      </x:c>
      <x:c r="B341" s="33" t="str">
        <x:v>Fire_Inspections</x:v>
      </x:c>
      <x:c r="C341" s="33" t="str">
        <x:v>access_clear</x:v>
      </x:c>
      <x:c r="D341" s="33" t="str">
        <x:v>boolean</x:v>
      </x:c>
      <x:c r="E341" s="34" t="b">
        <x:v>1</x:v>
      </x:c>
      <x:c r="F341" s="33" t="str"/>
      <x:c r="G341" s="50" t="str">
        <x:v>Access clear</x:v>
      </x:c>
      <x:c r="H341" s="33" t="str">
        <x:v>true</x:v>
      </x:c>
      <x:c r="I341" s="50" t="str"/>
      <x:c r="J341" s="33" t="str">
        <x:v>INTERNAL_SAMPLE</x:v>
      </x:c>
      <x:c r="K341" s="33" t="str">
        <x:v>Member 6</x:v>
      </x:c>
    </x:row>
    <x:row r="342" ht="24" customHeight="1">
      <x:c r="A342" s="33" t="str">
        <x:v>ESCA_HSE_03_Assets_Training_Health_Sample_Data.xlsx</x:v>
      </x:c>
      <x:c r="B342" s="33" t="str">
        <x:v>Fire_Inspections</x:v>
      </x:c>
      <x:c r="C342" s="33" t="str">
        <x:v>pressure_ok</x:v>
      </x:c>
      <x:c r="D342" s="33" t="str">
        <x:v>boolean</x:v>
      </x:c>
      <x:c r="E342" s="34" t="b">
        <x:v>1</x:v>
      </x:c>
      <x:c r="F342" s="33" t="str"/>
      <x:c r="G342" s="50" t="str">
        <x:v>Pressure acceptable</x:v>
      </x:c>
      <x:c r="H342" s="33" t="str">
        <x:v>true</x:v>
      </x:c>
      <x:c r="I342" s="50" t="str"/>
      <x:c r="J342" s="33" t="str">
        <x:v>INTERNAL_SAMPLE</x:v>
      </x:c>
      <x:c r="K342" s="33" t="str">
        <x:v>Member 6</x:v>
      </x:c>
    </x:row>
    <x:row r="343" ht="24" customHeight="1">
      <x:c r="A343" s="33" t="str">
        <x:v>ESCA_HSE_03_Assets_Training_Health_Sample_Data.xlsx</x:v>
      </x:c>
      <x:c r="B343" s="33" t="str">
        <x:v>Fire_Inspections</x:v>
      </x:c>
      <x:c r="C343" s="33" t="str">
        <x:v>hose_ok</x:v>
      </x:c>
      <x:c r="D343" s="33" t="str">
        <x:v>boolean</x:v>
      </x:c>
      <x:c r="E343" s="34" t="b">
        <x:v>1</x:v>
      </x:c>
      <x:c r="F343" s="33" t="str"/>
      <x:c r="G343" s="50" t="str">
        <x:v>Hose/nozzle intact</x:v>
      </x:c>
      <x:c r="H343" s="33" t="str">
        <x:v>true</x:v>
      </x:c>
      <x:c r="I343" s="50" t="str"/>
      <x:c r="J343" s="33" t="str">
        <x:v>INTERNAL_SAMPLE</x:v>
      </x:c>
      <x:c r="K343" s="33" t="str">
        <x:v>Member 6</x:v>
      </x:c>
    </x:row>
    <x:row r="344" ht="24" customHeight="1">
      <x:c r="A344" s="33" t="str">
        <x:v>ESCA_HSE_03_Assets_Training_Health_Sample_Data.xlsx</x:v>
      </x:c>
      <x:c r="B344" s="33" t="str">
        <x:v>Fire_Inspections</x:v>
      </x:c>
      <x:c r="C344" s="33" t="str">
        <x:v>safety_pin_ok</x:v>
      </x:c>
      <x:c r="D344" s="33" t="str">
        <x:v>boolean</x:v>
      </x:c>
      <x:c r="E344" s="34" t="b">
        <x:v>1</x:v>
      </x:c>
      <x:c r="F344" s="33" t="str"/>
      <x:c r="G344" s="50" t="str">
        <x:v>Safety pin present</x:v>
      </x:c>
      <x:c r="H344" s="33" t="str">
        <x:v>true</x:v>
      </x:c>
      <x:c r="I344" s="50" t="str"/>
      <x:c r="J344" s="33" t="str">
        <x:v>INTERNAL_SAMPLE</x:v>
      </x:c>
      <x:c r="K344" s="33" t="str">
        <x:v>Member 6</x:v>
      </x:c>
    </x:row>
    <x:row r="345" ht="24" customHeight="1">
      <x:c r="A345" s="33" t="str">
        <x:v>ESCA_HSE_03_Assets_Training_Health_Sample_Data.xlsx</x:v>
      </x:c>
      <x:c r="B345" s="33" t="str">
        <x:v>Fire_Inspections</x:v>
      </x:c>
      <x:c r="C345" s="33" t="str">
        <x:v>expiry_valid</x:v>
      </x:c>
      <x:c r="D345" s="33" t="str">
        <x:v>boolean</x:v>
      </x:c>
      <x:c r="E345" s="34" t="b">
        <x:v>1</x:v>
      </x:c>
      <x:c r="F345" s="33" t="str"/>
      <x:c r="G345" s="50" t="str">
        <x:v>Expiry valid</x:v>
      </x:c>
      <x:c r="H345" s="33" t="str">
        <x:v>true</x:v>
      </x:c>
      <x:c r="I345" s="50" t="str"/>
      <x:c r="J345" s="33" t="str">
        <x:v>INTERNAL_SAMPLE</x:v>
      </x:c>
      <x:c r="K345" s="33" t="str">
        <x:v>Member 6</x:v>
      </x:c>
    </x:row>
    <x:row r="346" ht="24" customHeight="1">
      <x:c r="A346" s="33" t="str">
        <x:v>ESCA_HSE_03_Assets_Training_Health_Sample_Data.xlsx</x:v>
      </x:c>
      <x:c r="B346" s="33" t="str">
        <x:v>Fire_Inspections</x:v>
      </x:c>
      <x:c r="C346" s="33" t="str">
        <x:v>body_ok</x:v>
      </x:c>
      <x:c r="D346" s="33" t="str">
        <x:v>boolean</x:v>
      </x:c>
      <x:c r="E346" s="34" t="b">
        <x:v>1</x:v>
      </x:c>
      <x:c r="F346" s="33" t="str"/>
      <x:c r="G346" s="50" t="str">
        <x:v>Body undamaged</x:v>
      </x:c>
      <x:c r="H346" s="33" t="str">
        <x:v>true</x:v>
      </x:c>
      <x:c r="I346" s="50" t="str"/>
      <x:c r="J346" s="33" t="str">
        <x:v>INTERNAL_SAMPLE</x:v>
      </x:c>
      <x:c r="K346" s="33" t="str">
        <x:v>Member 6</x:v>
      </x:c>
    </x:row>
    <x:row r="347" ht="24" customHeight="1">
      <x:c r="A347" s="33" t="str">
        <x:v>ESCA_HSE_03_Assets_Training_Health_Sample_Data.xlsx</x:v>
      </x:c>
      <x:c r="B347" s="33" t="str">
        <x:v>Fire_Inspections</x:v>
      </x:c>
      <x:c r="C347" s="33" t="str">
        <x:v>signage_ok</x:v>
      </x:c>
      <x:c r="D347" s="33" t="str">
        <x:v>boolean</x:v>
      </x:c>
      <x:c r="E347" s="34" t="b">
        <x:v>1</x:v>
      </x:c>
      <x:c r="F347" s="33" t="str"/>
      <x:c r="G347" s="50" t="str">
        <x:v>Signage clear</x:v>
      </x:c>
      <x:c r="H347" s="33" t="str">
        <x:v>true</x:v>
      </x:c>
      <x:c r="I347" s="50" t="str"/>
      <x:c r="J347" s="33" t="str">
        <x:v>INTERNAL_SAMPLE</x:v>
      </x:c>
      <x:c r="K347" s="33" t="str">
        <x:v>Member 6</x:v>
      </x:c>
    </x:row>
    <x:row r="348" ht="24" customHeight="1">
      <x:c r="A348" s="33" t="str">
        <x:v>ESCA_HSE_03_Assets_Training_Health_Sample_Data.xlsx</x:v>
      </x:c>
      <x:c r="B348" s="33" t="str">
        <x:v>Fire_Inspections</x:v>
      </x:c>
      <x:c r="C348" s="33" t="str">
        <x:v>result</x:v>
      </x:c>
      <x:c r="D348" s="33" t="str">
        <x:v>enum</x:v>
      </x:c>
      <x:c r="E348" s="34" t="b">
        <x:v>1</x:v>
      </x:c>
      <x:c r="F348" s="33" t="str"/>
      <x:c r="G348" s="50" t="str">
        <x:v>Inspection result</x:v>
      </x:c>
      <x:c r="H348" s="33" t="str">
        <x:v>PASS</x:v>
      </x:c>
      <x:c r="I348" s="50" t="str">
        <x:v>PASS | PASS_WITH_ACTION | FAIL</x:v>
      </x:c>
      <x:c r="J348" s="33" t="str">
        <x:v>INTERNAL_SAMPLE</x:v>
      </x:c>
      <x:c r="K348" s="33" t="str">
        <x:v>Member 6</x:v>
      </x:c>
    </x:row>
    <x:row r="349" ht="24" customHeight="1">
      <x:c r="A349" s="33" t="str">
        <x:v>ESCA_HSE_03_Assets_Training_Health_Sample_Data.xlsx</x:v>
      </x:c>
      <x:c r="B349" s="33" t="str">
        <x:v>Fire_Inspections</x:v>
      </x:c>
      <x:c r="C349" s="33" t="str">
        <x:v>action_required</x:v>
      </x:c>
      <x:c r="D349" s="33" t="str">
        <x:v>enum</x:v>
      </x:c>
      <x:c r="E349" s="34" t="b">
        <x:v>1</x:v>
      </x:c>
      <x:c r="F349" s="33" t="str"/>
      <x:c r="G349" s="50" t="str">
        <x:v>Required action</x:v>
      </x:c>
      <x:c r="H349" s="33" t="str">
        <x:v>NONE</x:v>
      </x:c>
      <x:c r="I349" s="50" t="str"/>
      <x:c r="J349" s="33" t="str">
        <x:v>INTERNAL_SAMPLE</x:v>
      </x:c>
      <x:c r="K349" s="33" t="str">
        <x:v>Member 6</x:v>
      </x:c>
    </x:row>
    <x:row r="350" ht="24" customHeight="1">
      <x:c r="A350" s="33" t="str">
        <x:v>ESCA_HSE_03_Assets_Training_Health_Sample_Data.xlsx</x:v>
      </x:c>
      <x:c r="B350" s="33" t="str">
        <x:v>Fire_Inspections</x:v>
      </x:c>
      <x:c r="C350" s="33" t="str">
        <x:v>next_due_date</x:v>
      </x:c>
      <x:c r="D350" s="33" t="str">
        <x:v>date</x:v>
      </x:c>
      <x:c r="E350" s="34" t="b">
        <x:v>1</x:v>
      </x:c>
      <x:c r="F350" s="33" t="str"/>
      <x:c r="G350" s="50" t="str">
        <x:v>Next inspection</x:v>
      </x:c>
      <x:c r="H350" s="33" t="n">
        <x:v>46266</x:v>
      </x:c>
      <x:c r="I350" s="50" t="str"/>
      <x:c r="J350" s="33" t="str">
        <x:v>INTERNAL_SAMPLE</x:v>
      </x:c>
      <x:c r="K350" s="33" t="str">
        <x:v>Member 6</x:v>
      </x:c>
    </x:row>
    <x:row r="351" ht="24" customHeight="1">
      <x:c r="A351" s="33" t="str">
        <x:v>ESCA_HSE_03_Assets_Training_Health_Sample_Data.xlsx</x:v>
      </x:c>
      <x:c r="B351" s="33" t="str">
        <x:v>Fire_Inspections</x:v>
      </x:c>
      <x:c r="C351" s="33" t="str">
        <x:v>work_order_id</x:v>
      </x:c>
      <x:c r="D351" s="33" t="str">
        <x:v>id</x:v>
      </x:c>
      <x:c r="E351" s="34" t="b">
        <x:v>0</x:v>
      </x:c>
      <x:c r="F351" s="33" t="str"/>
      <x:c r="G351" s="50" t="str">
        <x:v>Generated work order</x:v>
      </x:c>
      <x:c r="H351" s="33" t="str">
        <x:v>WO-2026-0342</x:v>
      </x:c>
      <x:c r="I351" s="50" t="str"/>
      <x:c r="J351" s="33" t="str">
        <x:v>INTERNAL_SAMPLE</x:v>
      </x:c>
      <x:c r="K351" s="33" t="str">
        <x:v>Member 6</x:v>
      </x:c>
    </x:row>
    <x:row r="352" ht="24" customHeight="1">
      <x:c r="A352" s="33" t="str">
        <x:v>ESCA_HSE_03_Assets_Training_Health_Sample_Data.xlsx</x:v>
      </x:c>
      <x:c r="B352" s="33" t="str">
        <x:v>Chemicals</x:v>
      </x:c>
      <x:c r="C352" s="33" t="str">
        <x:v>chemical_id</x:v>
      </x:c>
      <x:c r="D352" s="33" t="str">
        <x:v>id</x:v>
      </x:c>
      <x:c r="E352" s="34" t="b">
        <x:v>1</x:v>
      </x:c>
      <x:c r="F352" s="33" t="str">
        <x:v>PK</x:v>
      </x:c>
      <x:c r="G352" s="50" t="str">
        <x:v>Chemical identifier</x:v>
      </x:c>
      <x:c r="H352" s="33" t="str">
        <x:v>CHM-001</x:v>
      </x:c>
      <x:c r="I352" s="50" t="str"/>
      <x:c r="J352" s="33" t="str">
        <x:v>INTERNAL_SAMPLE</x:v>
      </x:c>
      <x:c r="K352" s="33" t="str">
        <x:v>Member 2</x:v>
      </x:c>
    </x:row>
    <x:row r="353" ht="24" customHeight="1">
      <x:c r="A353" s="33" t="str">
        <x:v>ESCA_HSE_03_Assets_Training_Health_Sample_Data.xlsx</x:v>
      </x:c>
      <x:c r="B353" s="33" t="str">
        <x:v>Chemicals</x:v>
      </x:c>
      <x:c r="C353" s="33" t="str">
        <x:v>trade_name</x:v>
      </x:c>
      <x:c r="D353" s="33" t="str">
        <x:v>text</x:v>
      </x:c>
      <x:c r="E353" s="34" t="b">
        <x:v>1</x:v>
      </x:c>
      <x:c r="F353" s="33" t="str"/>
      <x:c r="G353" s="50" t="str">
        <x:v>Trade name</x:v>
      </x:c>
      <x:c r="H353" s="33" t="str">
        <x:v>Industrial Solvent A</x:v>
      </x:c>
      <x:c r="I353" s="50" t="str"/>
      <x:c r="J353" s="33" t="str">
        <x:v>INTERNAL_SAMPLE</x:v>
      </x:c>
      <x:c r="K353" s="33" t="str">
        <x:v>Member 2</x:v>
      </x:c>
    </x:row>
    <x:row r="354" ht="24" customHeight="1">
      <x:c r="A354" s="33" t="str">
        <x:v>ESCA_HSE_03_Assets_Training_Health_Sample_Data.xlsx</x:v>
      </x:c>
      <x:c r="B354" s="33" t="str">
        <x:v>Chemicals</x:v>
      </x:c>
      <x:c r="C354" s="33" t="str">
        <x:v>chemical_name</x:v>
      </x:c>
      <x:c r="D354" s="33" t="str">
        <x:v>text</x:v>
      </x:c>
      <x:c r="E354" s="34" t="b">
        <x:v>1</x:v>
      </x:c>
      <x:c r="F354" s="33" t="str"/>
      <x:c r="G354" s="50" t="str">
        <x:v>Chemical/common name</x:v>
      </x:c>
      <x:c r="H354" s="33" t="str">
        <x:v>Isopropyl alcohol</x:v>
      </x:c>
      <x:c r="I354" s="50" t="str"/>
      <x:c r="J354" s="33" t="str">
        <x:v>INTERNAL_SAMPLE</x:v>
      </x:c>
      <x:c r="K354" s="33" t="str">
        <x:v>Member 2</x:v>
      </x:c>
    </x:row>
    <x:row r="355" ht="24" customHeight="1">
      <x:c r="A355" s="33" t="str">
        <x:v>ESCA_HSE_03_Assets_Training_Health_Sample_Data.xlsx</x:v>
      </x:c>
      <x:c r="B355" s="33" t="str">
        <x:v>Chemicals</x:v>
      </x:c>
      <x:c r="C355" s="33" t="str">
        <x:v>cas_number</x:v>
      </x:c>
      <x:c r="D355" s="33" t="str">
        <x:v>text</x:v>
      </x:c>
      <x:c r="E355" s="34" t="b">
        <x:v>1</x:v>
      </x:c>
      <x:c r="F355" s="33" t="str"/>
      <x:c r="G355" s="50" t="str">
        <x:v>CAS or mixture marker</x:v>
      </x:c>
      <x:c r="H355" s="33" t="str">
        <x:v>67-63-0</x:v>
      </x:c>
      <x:c r="I355" s="50" t="str"/>
      <x:c r="J355" s="33" t="str">
        <x:v>INTERNAL_SAMPLE</x:v>
      </x:c>
      <x:c r="K355" s="33" t="str">
        <x:v>Member 2</x:v>
      </x:c>
    </x:row>
    <x:row r="356" ht="24" customHeight="1">
      <x:c r="A356" s="33" t="str">
        <x:v>ESCA_HSE_03_Assets_Training_Health_Sample_Data.xlsx</x:v>
      </x:c>
      <x:c r="B356" s="33" t="str">
        <x:v>Chemicals</x:v>
      </x:c>
      <x:c r="C356" s="33" t="str">
        <x:v>supplier</x:v>
      </x:c>
      <x:c r="D356" s="33" t="str">
        <x:v>text</x:v>
      </x:c>
      <x:c r="E356" s="34" t="b">
        <x:v>1</x:v>
      </x:c>
      <x:c r="F356" s="33" t="str"/>
      <x:c r="G356" s="50" t="str">
        <x:v>Supplier</x:v>
      </x:c>
      <x:c r="H356" s="33" t="str">
        <x:v>Chem Supplier A</x:v>
      </x:c>
      <x:c r="I356" s="50" t="str"/>
      <x:c r="J356" s="33" t="str">
        <x:v>INTERNAL_SAMPLE</x:v>
      </x:c>
      <x:c r="K356" s="33" t="str">
        <x:v>Member 2</x:v>
      </x:c>
    </x:row>
    <x:row r="357" ht="24" customHeight="1">
      <x:c r="A357" s="33" t="str">
        <x:v>ESCA_HSE_03_Assets_Training_Health_Sample_Data.xlsx</x:v>
      </x:c>
      <x:c r="B357" s="33" t="str">
        <x:v>Chemicals</x:v>
      </x:c>
      <x:c r="C357" s="33" t="str">
        <x:v>quantity</x:v>
      </x:c>
      <x:c r="D357" s="33" t="str">
        <x:v>decimal</x:v>
      </x:c>
      <x:c r="E357" s="34" t="b">
        <x:v>1</x:v>
      </x:c>
      <x:c r="F357" s="33" t="str"/>
      <x:c r="G357" s="50" t="str">
        <x:v>Inventory quantity</x:v>
      </x:c>
      <x:c r="H357" s="33" t="str">
        <x:v>200</x:v>
      </x:c>
      <x:c r="I357" s="50" t="str"/>
      <x:c r="J357" s="33" t="str">
        <x:v>INTERNAL_SAMPLE</x:v>
      </x:c>
      <x:c r="K357" s="33" t="str">
        <x:v>Member 2</x:v>
      </x:c>
    </x:row>
    <x:row r="358" ht="24" customHeight="1">
      <x:c r="A358" s="33" t="str">
        <x:v>ESCA_HSE_03_Assets_Training_Health_Sample_Data.xlsx</x:v>
      </x:c>
      <x:c r="B358" s="33" t="str">
        <x:v>Chemicals</x:v>
      </x:c>
      <x:c r="C358" s="33" t="str">
        <x:v>unit</x:v>
      </x:c>
      <x:c r="D358" s="33" t="str">
        <x:v>text</x:v>
      </x:c>
      <x:c r="E358" s="34" t="b">
        <x:v>1</x:v>
      </x:c>
      <x:c r="F358" s="33" t="str"/>
      <x:c r="G358" s="50" t="str">
        <x:v>Quantity unit</x:v>
      </x:c>
      <x:c r="H358" s="33" t="str">
        <x:v>L</x:v>
      </x:c>
      <x:c r="I358" s="50" t="str"/>
      <x:c r="J358" s="33" t="str">
        <x:v>INTERNAL_SAMPLE</x:v>
      </x:c>
      <x:c r="K358" s="33" t="str">
        <x:v>Member 2</x:v>
      </x:c>
    </x:row>
    <x:row r="359" ht="24" customHeight="1">
      <x:c r="A359" s="33" t="str">
        <x:v>ESCA_HSE_03_Assets_Training_Health_Sample_Data.xlsx</x:v>
      </x:c>
      <x:c r="B359" s="33" t="str">
        <x:v>Chemicals</x:v>
      </x:c>
      <x:c r="C359" s="33" t="str">
        <x:v>ghs_classes</x:v>
      </x:c>
      <x:c r="D359" s="33" t="str">
        <x:v>text</x:v>
      </x:c>
      <x:c r="E359" s="34" t="b">
        <x:v>1</x:v>
      </x:c>
      <x:c r="F359" s="33" t="str"/>
      <x:c r="G359" s="50" t="str">
        <x:v>Semicolon-separated GHS classes</x:v>
      </x:c>
      <x:c r="H359" s="33" t="str">
        <x:v>FLAMMABLE;IRRITANT</x:v>
      </x:c>
      <x:c r="I359" s="50" t="str"/>
      <x:c r="J359" s="33" t="str">
        <x:v>INTERNAL_SAMPLE</x:v>
      </x:c>
      <x:c r="K359" s="33" t="str">
        <x:v>Member 2</x:v>
      </x:c>
    </x:row>
    <x:row r="360" ht="24" customHeight="1">
      <x:c r="A360" s="33" t="str">
        <x:v>ESCA_HSE_03_Assets_Training_Health_Sample_Data.xlsx</x:v>
      </x:c>
      <x:c r="B360" s="33" t="str">
        <x:v>Chemicals</x:v>
      </x:c>
      <x:c r="C360" s="33" t="str">
        <x:v>storage_class</x:v>
      </x:c>
      <x:c r="D360" s="33" t="str">
        <x:v>enum</x:v>
      </x:c>
      <x:c r="E360" s="34" t="b">
        <x:v>1</x:v>
      </x:c>
      <x:c r="F360" s="33" t="str"/>
      <x:c r="G360" s="50" t="str">
        <x:v>Storage compatibility class</x:v>
      </x:c>
      <x:c r="H360" s="33" t="str">
        <x:v>FLAMMABLE</x:v>
      </x:c>
      <x:c r="I360" s="50" t="str"/>
      <x:c r="J360" s="33" t="str">
        <x:v>INTERNAL_SAMPLE</x:v>
      </x:c>
      <x:c r="K360" s="33" t="str">
        <x:v>Member 2</x:v>
      </x:c>
    </x:row>
    <x:row r="361" ht="24" customHeight="1">
      <x:c r="A361" s="33" t="str">
        <x:v>ESCA_HSE_03_Assets_Training_Health_Sample_Data.xlsx</x:v>
      </x:c>
      <x:c r="B361" s="33" t="str">
        <x:v>Chemicals</x:v>
      </x:c>
      <x:c r="C361" s="33" t="str">
        <x:v>department_id</x:v>
      </x:c>
      <x:c r="D361" s="33" t="str">
        <x:v>id</x:v>
      </x:c>
      <x:c r="E361" s="34" t="b">
        <x:v>1</x:v>
      </x:c>
      <x:c r="F361" s="33" t="str">
        <x:v>FK -&gt; Departments.department_id</x:v>
      </x:c>
      <x:c r="G361" s="50" t="str">
        <x:v>Owning department</x:v>
      </x:c>
      <x:c r="H361" s="33" t="str">
        <x:v>DEP-QC</x:v>
      </x:c>
      <x:c r="I361" s="50" t="str"/>
      <x:c r="J361" s="33" t="str">
        <x:v>INTERNAL_SAMPLE</x:v>
      </x:c>
      <x:c r="K361" s="33" t="str">
        <x:v>Member 2</x:v>
      </x:c>
    </x:row>
    <x:row r="362" ht="24" customHeight="1">
      <x:c r="A362" s="33" t="str">
        <x:v>ESCA_HSE_03_Assets_Training_Health_Sample_Data.xlsx</x:v>
      </x:c>
      <x:c r="B362" s="33" t="str">
        <x:v>Chemicals</x:v>
      </x:c>
      <x:c r="C362" s="33" t="str">
        <x:v>zone_id</x:v>
      </x:c>
      <x:c r="D362" s="33" t="str">
        <x:v>id</x:v>
      </x:c>
      <x:c r="E362" s="34" t="b">
        <x:v>1</x:v>
      </x:c>
      <x:c r="F362" s="33" t="str">
        <x:v>FK -&gt; Zones.zone_id</x:v>
      </x:c>
      <x:c r="G362" s="50" t="str">
        <x:v>Storage zone</x:v>
      </x:c>
      <x:c r="H362" s="33" t="str">
        <x:v>ZN-CHEM</x:v>
      </x:c>
      <x:c r="I362" s="50" t="str"/>
      <x:c r="J362" s="33" t="str">
        <x:v>INTERNAL_SAMPLE</x:v>
      </x:c>
      <x:c r="K362" s="33" t="str">
        <x:v>Member 2</x:v>
      </x:c>
    </x:row>
    <x:row r="363" ht="24" customHeight="1">
      <x:c r="A363" s="33" t="str">
        <x:v>ESCA_HSE_03_Assets_Training_Health_Sample_Data.xlsx</x:v>
      </x:c>
      <x:c r="B363" s="33" t="str">
        <x:v>Chemicals</x:v>
      </x:c>
      <x:c r="C363" s="33" t="str">
        <x:v>status</x:v>
      </x:c>
      <x:c r="D363" s="33" t="str">
        <x:v>enum</x:v>
      </x:c>
      <x:c r="E363" s="34" t="b">
        <x:v>1</x:v>
      </x:c>
      <x:c r="F363" s="33" t="str"/>
      <x:c r="G363" s="50" t="str">
        <x:v>Inventory state</x:v>
      </x:c>
      <x:c r="H363" s="33" t="str">
        <x:v>ACTIVE</x:v>
      </x:c>
      <x:c r="I363" s="50" t="str">
        <x:v>ACTIVE | PHASED_OUT | QUARANTINED</x:v>
      </x:c>
      <x:c r="J363" s="33" t="str">
        <x:v>INTERNAL_SAMPLE</x:v>
      </x:c>
      <x:c r="K363" s="33" t="str">
        <x:v>Member 2</x:v>
      </x:c>
    </x:row>
    <x:row r="364" ht="24" customHeight="1">
      <x:c r="A364" s="33" t="str">
        <x:v>ESCA_HSE_03_Assets_Training_Health_Sample_Data.xlsx</x:v>
      </x:c>
      <x:c r="B364" s="33" t="str">
        <x:v>SDS_Records</x:v>
      </x:c>
      <x:c r="C364" s="33" t="str">
        <x:v>sds_id</x:v>
      </x:c>
      <x:c r="D364" s="33" t="str">
        <x:v>id</x:v>
      </x:c>
      <x:c r="E364" s="34" t="b">
        <x:v>1</x:v>
      </x:c>
      <x:c r="F364" s="33" t="str">
        <x:v>PK</x:v>
      </x:c>
      <x:c r="G364" s="50" t="str">
        <x:v>SDS identifier</x:v>
      </x:c>
      <x:c r="H364" s="33" t="str">
        <x:v>SDS-001</x:v>
      </x:c>
      <x:c r="I364" s="50" t="str"/>
      <x:c r="J364" s="33" t="str">
        <x:v>INTERNAL_SAMPLE</x:v>
      </x:c>
      <x:c r="K364" s="33" t="str">
        <x:v>Member 2</x:v>
      </x:c>
    </x:row>
    <x:row r="365" ht="24" customHeight="1">
      <x:c r="A365" s="33" t="str">
        <x:v>ESCA_HSE_03_Assets_Training_Health_Sample_Data.xlsx</x:v>
      </x:c>
      <x:c r="B365" s="33" t="str">
        <x:v>SDS_Records</x:v>
      </x:c>
      <x:c r="C365" s="33" t="str">
        <x:v>chemical_id</x:v>
      </x:c>
      <x:c r="D365" s="33" t="str">
        <x:v>id</x:v>
      </x:c>
      <x:c r="E365" s="34" t="b">
        <x:v>1</x:v>
      </x:c>
      <x:c r="F365" s="33" t="str">
        <x:v>FK -&gt; Chemicals.chemical_id</x:v>
      </x:c>
      <x:c r="G365" s="50" t="str">
        <x:v>Chemical</x:v>
      </x:c>
      <x:c r="H365" s="33" t="str">
        <x:v>CHM-001</x:v>
      </x:c>
      <x:c r="I365" s="50" t="str"/>
      <x:c r="J365" s="33" t="str">
        <x:v>INTERNAL_SAMPLE</x:v>
      </x:c>
      <x:c r="K365" s="33" t="str">
        <x:v>Member 2</x:v>
      </x:c>
    </x:row>
    <x:row r="366" ht="24" customHeight="1">
      <x:c r="A366" s="33" t="str">
        <x:v>ESCA_HSE_03_Assets_Training_Health_Sample_Data.xlsx</x:v>
      </x:c>
      <x:c r="B366" s="33" t="str">
        <x:v>SDS_Records</x:v>
      </x:c>
      <x:c r="C366" s="33" t="str">
        <x:v>version_no</x:v>
      </x:c>
      <x:c r="D366" s="33" t="str">
        <x:v>text</x:v>
      </x:c>
      <x:c r="E366" s="34" t="b">
        <x:v>1</x:v>
      </x:c>
      <x:c r="F366" s="33" t="str"/>
      <x:c r="G366" s="50" t="str">
        <x:v>Version</x:v>
      </x:c>
      <x:c r="H366" s="33" t="str">
        <x:v>1.0</x:v>
      </x:c>
      <x:c r="I366" s="50" t="str"/>
      <x:c r="J366" s="33" t="str">
        <x:v>INTERNAL_SAMPLE</x:v>
      </x:c>
      <x:c r="K366" s="33" t="str">
        <x:v>Member 2</x:v>
      </x:c>
    </x:row>
    <x:row r="367" ht="24" customHeight="1">
      <x:c r="A367" s="33" t="str">
        <x:v>ESCA_HSE_03_Assets_Training_Health_Sample_Data.xlsx</x:v>
      </x:c>
      <x:c r="B367" s="33" t="str">
        <x:v>SDS_Records</x:v>
      </x:c>
      <x:c r="C367" s="33" t="str">
        <x:v>issue_date</x:v>
      </x:c>
      <x:c r="D367" s="33" t="str">
        <x:v>date</x:v>
      </x:c>
      <x:c r="E367" s="34" t="b">
        <x:v>1</x:v>
      </x:c>
      <x:c r="F367" s="33" t="str"/>
      <x:c r="G367" s="50" t="str">
        <x:v>Issue date</x:v>
      </x:c>
      <x:c r="H367" s="33" t="n">
        <x:v>44927</x:v>
      </x:c>
      <x:c r="I367" s="50" t="str"/>
      <x:c r="J367" s="33" t="str">
        <x:v>INTERNAL_SAMPLE</x:v>
      </x:c>
      <x:c r="K367" s="33" t="str">
        <x:v>Member 2</x:v>
      </x:c>
    </x:row>
    <x:row r="368" ht="24" customHeight="1">
      <x:c r="A368" s="33" t="str">
        <x:v>ESCA_HSE_03_Assets_Training_Health_Sample_Data.xlsx</x:v>
      </x:c>
      <x:c r="B368" s="33" t="str">
        <x:v>SDS_Records</x:v>
      </x:c>
      <x:c r="C368" s="33" t="str">
        <x:v>expiry_date</x:v>
      </x:c>
      <x:c r="D368" s="33" t="str">
        <x:v>date</x:v>
      </x:c>
      <x:c r="E368" s="34" t="b">
        <x:v>1</x:v>
      </x:c>
      <x:c r="F368" s="33" t="str"/>
      <x:c r="G368" s="50" t="str">
        <x:v>Review/expiry date</x:v>
      </x:c>
      <x:c r="H368" s="33" t="n">
        <x:v>46388</x:v>
      </x:c>
      <x:c r="I368" s="50" t="str"/>
      <x:c r="J368" s="33" t="str">
        <x:v>INTERNAL_SAMPLE</x:v>
      </x:c>
      <x:c r="K368" s="33" t="str">
        <x:v>Member 2</x:v>
      </x:c>
    </x:row>
    <x:row r="369" ht="24" customHeight="1">
      <x:c r="A369" s="33" t="str">
        <x:v>ESCA_HSE_03_Assets_Training_Health_Sample_Data.xlsx</x:v>
      </x:c>
      <x:c r="B369" s="33" t="str">
        <x:v>SDS_Records</x:v>
      </x:c>
      <x:c r="C369" s="33" t="str">
        <x:v>language</x:v>
      </x:c>
      <x:c r="D369" s="33" t="str">
        <x:v>text</x:v>
      </x:c>
      <x:c r="E369" s="34" t="b">
        <x:v>1</x:v>
      </x:c>
      <x:c r="F369" s="33" t="str"/>
      <x:c r="G369" s="50" t="str">
        <x:v>Available languages</x:v>
      </x:c>
      <x:c r="H369" s="33" t="str">
        <x:v>AR;EN</x:v>
      </x:c>
      <x:c r="I369" s="50" t="str"/>
      <x:c r="J369" s="33" t="str">
        <x:v>INTERNAL_SAMPLE</x:v>
      </x:c>
      <x:c r="K369" s="33" t="str">
        <x:v>Member 2</x:v>
      </x:c>
    </x:row>
    <x:row r="370" ht="24" customHeight="1">
      <x:c r="A370" s="33" t="str">
        <x:v>ESCA_HSE_03_Assets_Training_Health_Sample_Data.xlsx</x:v>
      </x:c>
      <x:c r="B370" s="33" t="str">
        <x:v>SDS_Records</x:v>
      </x:c>
      <x:c r="C370" s="33" t="str">
        <x:v>file_ref</x:v>
      </x:c>
      <x:c r="D370" s="33" t="str">
        <x:v>text</x:v>
      </x:c>
      <x:c r="E370" s="34" t="b">
        <x:v>0</x:v>
      </x:c>
      <x:c r="F370" s="33" t="str"/>
      <x:c r="G370" s="50" t="str">
        <x:v>Synthetic file reference</x:v>
      </x:c>
      <x:c r="H370" s="33" t="str">
        <x:v>sds/chm-001_latest.pdf</x:v>
      </x:c>
      <x:c r="I370" s="50" t="str"/>
      <x:c r="J370" s="33" t="str">
        <x:v>INTERNAL_SAMPLE</x:v>
      </x:c>
      <x:c r="K370" s="33" t="str">
        <x:v>Member 2</x:v>
      </x:c>
    </x:row>
    <x:row r="371" ht="24" customHeight="1">
      <x:c r="A371" s="33" t="str">
        <x:v>ESCA_HSE_03_Assets_Training_Health_Sample_Data.xlsx</x:v>
      </x:c>
      <x:c r="B371" s="33" t="str">
        <x:v>SDS_Records</x:v>
      </x:c>
      <x:c r="C371" s="33" t="str">
        <x:v>emergency_summary</x:v>
      </x:c>
      <x:c r="D371" s="33" t="str">
        <x:v>long_text</x:v>
      </x:c>
      <x:c r="E371" s="34" t="b">
        <x:v>1</x:v>
      </x:c>
      <x:c r="F371" s="33" t="str"/>
      <x:c r="G371" s="50" t="str">
        <x:v>Short emergency handling summary</x:v>
      </x:c>
      <x:c r="H371" s="33" t="str">
        <x:v>Refer to approved spill and first-aid procedure.</x:v>
      </x:c>
      <x:c r="I371" s="50" t="str"/>
      <x:c r="J371" s="33" t="str">
        <x:v>INTERNAL_SAMPLE</x:v>
      </x:c>
      <x:c r="K371" s="33" t="str">
        <x:v>Member 2</x:v>
      </x:c>
    </x:row>
    <x:row r="372" ht="24" customHeight="1">
      <x:c r="A372" s="33" t="str">
        <x:v>ESCA_HSE_03_Assets_Training_Health_Sample_Data.xlsx</x:v>
      </x:c>
      <x:c r="B372" s="33" t="str">
        <x:v>SDS_Records</x:v>
      </x:c>
      <x:c r="C372" s="33" t="str">
        <x:v>status</x:v>
      </x:c>
      <x:c r="D372" s="33" t="str">
        <x:v>enum</x:v>
      </x:c>
      <x:c r="E372" s="34" t="b">
        <x:v>1</x:v>
      </x:c>
      <x:c r="F372" s="33" t="str"/>
      <x:c r="G372" s="50" t="str">
        <x:v>SDS state</x:v>
      </x:c>
      <x:c r="H372" s="33" t="str">
        <x:v>CURRENT</x:v>
      </x:c>
      <x:c r="I372" s="50" t="str">
        <x:v>CURRENT | DUE_SOON | EXPIRED | MISSING_CURRENT_VERSION</x:v>
      </x:c>
      <x:c r="J372" s="33" t="str">
        <x:v>INTERNAL_SAMPLE</x:v>
      </x:c>
      <x:c r="K372" s="33" t="str">
        <x:v>Member 2</x:v>
      </x:c>
    </x:row>
    <x:row r="373" ht="24" customHeight="1">
      <x:c r="A373" s="33" t="str">
        <x:v>ESCA_HSE_03_Assets_Training_Health_Sample_Data.xlsx</x:v>
      </x:c>
      <x:c r="B373" s="33" t="str">
        <x:v>SDS_Records</x:v>
      </x:c>
      <x:c r="C373" s="33" t="str">
        <x:v>days_to_expiry</x:v>
      </x:c>
      <x:c r="D373" s="33" t="str">
        <x:v>formula</x:v>
      </x:c>
      <x:c r="E373" s="34" t="b">
        <x:v>1</x:v>
      </x:c>
      <x:c r="F373" s="33" t="str"/>
      <x:c r="G373" s="50" t="str">
        <x:v>Derived days to expiry</x:v>
      </x:c>
      <x:c r="H373" s="33" t="str">
        <x:v>Formula-derived</x:v>
      </x:c>
      <x:c r="I373" s="50" t="str"/>
      <x:c r="J373" s="33" t="str">
        <x:v>INTERNAL_SAMPLE</x:v>
      </x:c>
      <x:c r="K373" s="33" t="str">
        <x:v>Member 2</x:v>
      </x:c>
    </x:row>
    <x:row r="374" ht="24" customHeight="1">
      <x:c r="A374" s="33" t="str">
        <x:v>ESCA_HSE_03_Assets_Training_Health_Sample_Data.xlsx</x:v>
      </x:c>
      <x:c r="B374" s="33" t="str">
        <x:v>Medical_Protocols</x:v>
      </x:c>
      <x:c r="C374" s="33" t="str">
        <x:v>protocol_id</x:v>
      </x:c>
      <x:c r="D374" s="33" t="str">
        <x:v>id</x:v>
      </x:c>
      <x:c r="E374" s="34" t="b">
        <x:v>1</x:v>
      </x:c>
      <x:c r="F374" s="33" t="str">
        <x:v>PK</x:v>
      </x:c>
      <x:c r="G374" s="50" t="str">
        <x:v>Medical protocol identifier</x:v>
      </x:c>
      <x:c r="H374" s="33" t="str">
        <x:v>MEDP-001</x:v>
      </x:c>
      <x:c r="I374" s="50" t="str"/>
      <x:c r="J374" s="33" t="str">
        <x:v>INTERNAL_SAMPLE</x:v>
      </x:c>
      <x:c r="K374" s="33" t="str">
        <x:v>Member 2</x:v>
      </x:c>
    </x:row>
    <x:row r="375" ht="24" customHeight="1">
      <x:c r="A375" s="33" t="str">
        <x:v>ESCA_HSE_03_Assets_Training_Health_Sample_Data.xlsx</x:v>
      </x:c>
      <x:c r="B375" s="33" t="str">
        <x:v>Medical_Protocols</x:v>
      </x:c>
      <x:c r="C375" s="33" t="str">
        <x:v>exposure_type</x:v>
      </x:c>
      <x:c r="D375" s="33" t="str">
        <x:v>enum</x:v>
      </x:c>
      <x:c r="E375" s="34" t="b">
        <x:v>1</x:v>
      </x:c>
      <x:c r="F375" s="33" t="str"/>
      <x:c r="G375" s="50" t="str">
        <x:v>Exposure class</x:v>
      </x:c>
      <x:c r="H375" s="33" t="str">
        <x:v>NOISE</x:v>
      </x:c>
      <x:c r="I375" s="50" t="str"/>
      <x:c r="J375" s="33" t="str">
        <x:v>INTERNAL_SAMPLE</x:v>
      </x:c>
      <x:c r="K375" s="33" t="str">
        <x:v>Member 2</x:v>
      </x:c>
    </x:row>
    <x:row r="376" ht="24" customHeight="1">
      <x:c r="A376" s="33" t="str">
        <x:v>ESCA_HSE_03_Assets_Training_Health_Sample_Data.xlsx</x:v>
      </x:c>
      <x:c r="B376" s="33" t="str">
        <x:v>Medical_Protocols</x:v>
      </x:c>
      <x:c r="C376" s="33" t="str">
        <x:v>exam_type</x:v>
      </x:c>
      <x:c r="D376" s="33" t="str">
        <x:v>text</x:v>
      </x:c>
      <x:c r="E376" s="34" t="b">
        <x:v>1</x:v>
      </x:c>
      <x:c r="F376" s="33" t="str"/>
      <x:c r="G376" s="50" t="str">
        <x:v>Required examination</x:v>
      </x:c>
      <x:c r="H376" s="33" t="str">
        <x:v>Audiometry</x:v>
      </x:c>
      <x:c r="I376" s="50" t="str"/>
      <x:c r="J376" s="33" t="str">
        <x:v>INTERNAL_SAMPLE</x:v>
      </x:c>
      <x:c r="K376" s="33" t="str">
        <x:v>Member 2</x:v>
      </x:c>
    </x:row>
    <x:row r="377" ht="24" customHeight="1">
      <x:c r="A377" s="33" t="str">
        <x:v>ESCA_HSE_03_Assets_Training_Health_Sample_Data.xlsx</x:v>
      </x:c>
      <x:c r="B377" s="33" t="str">
        <x:v>Medical_Protocols</x:v>
      </x:c>
      <x:c r="C377" s="33" t="str">
        <x:v>frequency_months</x:v>
      </x:c>
      <x:c r="D377" s="33" t="str">
        <x:v>integer</x:v>
      </x:c>
      <x:c r="E377" s="34" t="b">
        <x:v>1</x:v>
      </x:c>
      <x:c r="F377" s="33" t="str"/>
      <x:c r="G377" s="50" t="str">
        <x:v>Frequency in months</x:v>
      </x:c>
      <x:c r="H377" s="33" t="str">
        <x:v>12</x:v>
      </x:c>
      <x:c r="I377" s="50" t="str"/>
      <x:c r="J377" s="33" t="str">
        <x:v>INTERNAL_SAMPLE</x:v>
      </x:c>
      <x:c r="K377" s="33" t="str">
        <x:v>Member 2</x:v>
      </x:c>
    </x:row>
    <x:row r="378" ht="24" customHeight="1">
      <x:c r="A378" s="33" t="str">
        <x:v>ESCA_HSE_03_Assets_Training_Health_Sample_Data.xlsx</x:v>
      </x:c>
      <x:c r="B378" s="33" t="str">
        <x:v>Medical_Protocols</x:v>
      </x:c>
      <x:c r="C378" s="33" t="str">
        <x:v>target_group</x:v>
      </x:c>
      <x:c r="D378" s="33" t="str">
        <x:v>enum</x:v>
      </x:c>
      <x:c r="E378" s="34" t="b">
        <x:v>1</x:v>
      </x:c>
      <x:c r="F378" s="33" t="str"/>
      <x:c r="G378" s="50" t="str">
        <x:v>Target employee group</x:v>
      </x:c>
      <x:c r="H378" s="33" t="str">
        <x:v>NOISE_EXPOSED</x:v>
      </x:c>
      <x:c r="I378" s="50" t="str"/>
      <x:c r="J378" s="33" t="str">
        <x:v>INTERNAL_SAMPLE</x:v>
      </x:c>
      <x:c r="K378" s="33" t="str">
        <x:v>Member 2</x:v>
      </x:c>
    </x:row>
    <x:row r="379" ht="24" customHeight="1">
      <x:c r="A379" s="33" t="str">
        <x:v>ESCA_HSE_03_Assets_Training_Health_Sample_Data.xlsx</x:v>
      </x:c>
      <x:c r="B379" s="33" t="str">
        <x:v>Medical_Protocols</x:v>
      </x:c>
      <x:c r="C379" s="33" t="str">
        <x:v>active_flag</x:v>
      </x:c>
      <x:c r="D379" s="33" t="str">
        <x:v>boolean</x:v>
      </x:c>
      <x:c r="E379" s="34" t="b">
        <x:v>1</x:v>
      </x:c>
      <x:c r="F379" s="33" t="str"/>
      <x:c r="G379" s="50" t="str">
        <x:v>Protocol active</x:v>
      </x:c>
      <x:c r="H379" s="33" t="str">
        <x:v>true</x:v>
      </x:c>
      <x:c r="I379" s="50" t="str"/>
      <x:c r="J379" s="33" t="str">
        <x:v>INTERNAL_SAMPLE</x:v>
      </x:c>
      <x:c r="K379" s="33" t="str">
        <x:v>Member 2</x:v>
      </x:c>
    </x:row>
    <x:row r="380" ht="24" customHeight="1">
      <x:c r="A380" s="33" t="str">
        <x:v>ESCA_HSE_03_Assets_Training_Health_Sample_Data.xlsx</x:v>
      </x:c>
      <x:c r="B380" s="33" t="str">
        <x:v>Employee_Exposures</x:v>
      </x:c>
      <x:c r="C380" s="33" t="str">
        <x:v>exposure_id</x:v>
      </x:c>
      <x:c r="D380" s="33" t="str">
        <x:v>id</x:v>
      </x:c>
      <x:c r="E380" s="34" t="b">
        <x:v>1</x:v>
      </x:c>
      <x:c r="F380" s="33" t="str">
        <x:v>PK</x:v>
      </x:c>
      <x:c r="G380" s="50" t="str">
        <x:v>Exposure assignment</x:v>
      </x:c>
      <x:c r="H380" s="33" t="str">
        <x:v>EXP-001</x:v>
      </x:c>
      <x:c r="I380" s="50" t="str"/>
      <x:c r="J380" s="33" t="str">
        <x:v>RESTRICTED_MEDICAL</x:v>
      </x:c>
      <x:c r="K380" s="33" t="str">
        <x:v>Member 2</x:v>
      </x:c>
    </x:row>
    <x:row r="381" ht="24" customHeight="1">
      <x:c r="A381" s="33" t="str">
        <x:v>ESCA_HSE_03_Assets_Training_Health_Sample_Data.xlsx</x:v>
      </x:c>
      <x:c r="B381" s="33" t="str">
        <x:v>Employee_Exposures</x:v>
      </x:c>
      <x:c r="C381" s="33" t="str">
        <x:v>employee_id</x:v>
      </x:c>
      <x:c r="D381" s="33" t="str">
        <x:v>id</x:v>
      </x:c>
      <x:c r="E381" s="34" t="b">
        <x:v>1</x:v>
      </x:c>
      <x:c r="F381" s="33" t="str">
        <x:v>FK -&gt; Employees.employee_id</x:v>
      </x:c>
      <x:c r="G381" s="50" t="str">
        <x:v>Synthetic employee</x:v>
      </x:c>
      <x:c r="H381" s="33" t="str">
        <x:v>EMP-017</x:v>
      </x:c>
      <x:c r="I381" s="50" t="str"/>
      <x:c r="J381" s="33" t="str">
        <x:v>RESTRICTED_MEDICAL</x:v>
      </x:c>
      <x:c r="K381" s="33" t="str">
        <x:v>Member 2</x:v>
      </x:c>
    </x:row>
    <x:row r="382" ht="24" customHeight="1">
      <x:c r="A382" s="33" t="str">
        <x:v>ESCA_HSE_03_Assets_Training_Health_Sample_Data.xlsx</x:v>
      </x:c>
      <x:c r="B382" s="33" t="str">
        <x:v>Employee_Exposures</x:v>
      </x:c>
      <x:c r="C382" s="33" t="str">
        <x:v>protocol_id</x:v>
      </x:c>
      <x:c r="D382" s="33" t="str">
        <x:v>id</x:v>
      </x:c>
      <x:c r="E382" s="34" t="b">
        <x:v>1</x:v>
      </x:c>
      <x:c r="F382" s="33" t="str">
        <x:v>FK -&gt; Medical_Protocols.protocol_id</x:v>
      </x:c>
      <x:c r="G382" s="50" t="str">
        <x:v>Required medical protocol</x:v>
      </x:c>
      <x:c r="H382" s="33" t="str">
        <x:v>MEDP-001</x:v>
      </x:c>
      <x:c r="I382" s="50" t="str"/>
      <x:c r="J382" s="33" t="str">
        <x:v>RESTRICTED_MEDICAL</x:v>
      </x:c>
      <x:c r="K382" s="33" t="str">
        <x:v>Member 2</x:v>
      </x:c>
    </x:row>
    <x:row r="383" ht="24" customHeight="1">
      <x:c r="A383" s="33" t="str">
        <x:v>ESCA_HSE_03_Assets_Training_Health_Sample_Data.xlsx</x:v>
      </x:c>
      <x:c r="B383" s="33" t="str">
        <x:v>Employee_Exposures</x:v>
      </x:c>
      <x:c r="C383" s="33" t="str">
        <x:v>zone_id</x:v>
      </x:c>
      <x:c r="D383" s="33" t="str">
        <x:v>id</x:v>
      </x:c>
      <x:c r="E383" s="34" t="b">
        <x:v>1</x:v>
      </x:c>
      <x:c r="F383" s="33" t="str">
        <x:v>FK -&gt; Zones.zone_id</x:v>
      </x:c>
      <x:c r="G383" s="50" t="str">
        <x:v>Exposure zone</x:v>
      </x:c>
      <x:c r="H383" s="33" t="str">
        <x:v>ZN-A1</x:v>
      </x:c>
      <x:c r="I383" s="50" t="str"/>
      <x:c r="J383" s="33" t="str">
        <x:v>RESTRICTED_MEDICAL</x:v>
      </x:c>
      <x:c r="K383" s="33" t="str">
        <x:v>Member 2</x:v>
      </x:c>
    </x:row>
    <x:row r="384" ht="24" customHeight="1">
      <x:c r="A384" s="33" t="str">
        <x:v>ESCA_HSE_03_Assets_Training_Health_Sample_Data.xlsx</x:v>
      </x:c>
      <x:c r="B384" s="33" t="str">
        <x:v>Employee_Exposures</x:v>
      </x:c>
      <x:c r="C384" s="33" t="str">
        <x:v>exposure_type</x:v>
      </x:c>
      <x:c r="D384" s="33" t="str">
        <x:v>enum</x:v>
      </x:c>
      <x:c r="E384" s="34" t="b">
        <x:v>1</x:v>
      </x:c>
      <x:c r="F384" s="33" t="str"/>
      <x:c r="G384" s="50" t="str">
        <x:v>Exposure category</x:v>
      </x:c>
      <x:c r="H384" s="33" t="str">
        <x:v>NOISE</x:v>
      </x:c>
      <x:c r="I384" s="50" t="str"/>
      <x:c r="J384" s="33" t="str">
        <x:v>RESTRICTED_MEDICAL</x:v>
      </x:c>
      <x:c r="K384" s="33" t="str">
        <x:v>Member 2</x:v>
      </x:c>
    </x:row>
    <x:row r="385" ht="24" customHeight="1">
      <x:c r="A385" s="33" t="str">
        <x:v>ESCA_HSE_03_Assets_Training_Health_Sample_Data.xlsx</x:v>
      </x:c>
      <x:c r="B385" s="33" t="str">
        <x:v>Employee_Exposures</x:v>
      </x:c>
      <x:c r="C385" s="33" t="str">
        <x:v>exposure_value</x:v>
      </x:c>
      <x:c r="D385" s="33" t="str">
        <x:v>decimal</x:v>
      </x:c>
      <x:c r="E385" s="34" t="b">
        <x:v>0</x:v>
      </x:c>
      <x:c r="F385" s="33" t="str"/>
      <x:c r="G385" s="50" t="str">
        <x:v>Measured value when applicable</x:v>
      </x:c>
      <x:c r="H385" s="33" t="str">
        <x:v>89</x:v>
      </x:c>
      <x:c r="I385" s="50" t="str"/>
      <x:c r="J385" s="33" t="str">
        <x:v>RESTRICTED_MEDICAL</x:v>
      </x:c>
      <x:c r="K385" s="33" t="str">
        <x:v>Member 2</x:v>
      </x:c>
    </x:row>
    <x:row r="386" ht="24" customHeight="1">
      <x:c r="A386" s="33" t="str">
        <x:v>ESCA_HSE_03_Assets_Training_Health_Sample_Data.xlsx</x:v>
      </x:c>
      <x:c r="B386" s="33" t="str">
        <x:v>Employee_Exposures</x:v>
      </x:c>
      <x:c r="C386" s="33" t="str">
        <x:v>unit</x:v>
      </x:c>
      <x:c r="D386" s="33" t="str">
        <x:v>text</x:v>
      </x:c>
      <x:c r="E386" s="34" t="b">
        <x:v>1</x:v>
      </x:c>
      <x:c r="F386" s="33" t="str"/>
      <x:c r="G386" s="50" t="str">
        <x:v>Unit or assessment basis</x:v>
      </x:c>
      <x:c r="H386" s="33" t="str">
        <x:v>dB(A)</x:v>
      </x:c>
      <x:c r="I386" s="50" t="str"/>
      <x:c r="J386" s="33" t="str">
        <x:v>RESTRICTED_MEDICAL</x:v>
      </x:c>
      <x:c r="K386" s="33" t="str">
        <x:v>Member 2</x:v>
      </x:c>
    </x:row>
    <x:row r="387" ht="24" customHeight="1">
      <x:c r="A387" s="33" t="str">
        <x:v>ESCA_HSE_03_Assets_Training_Health_Sample_Data.xlsx</x:v>
      </x:c>
      <x:c r="B387" s="33" t="str">
        <x:v>Employee_Exposures</x:v>
      </x:c>
      <x:c r="C387" s="33" t="str">
        <x:v>assessment_date</x:v>
      </x:c>
      <x:c r="D387" s="33" t="str">
        <x:v>date</x:v>
      </x:c>
      <x:c r="E387" s="34" t="b">
        <x:v>1</x:v>
      </x:c>
      <x:c r="F387" s="33" t="str"/>
      <x:c r="G387" s="50" t="str">
        <x:v>Assessment date</x:v>
      </x:c>
      <x:c r="H387" s="33" t="n">
        <x:v>46174</x:v>
      </x:c>
      <x:c r="I387" s="50" t="str"/>
      <x:c r="J387" s="33" t="str">
        <x:v>RESTRICTED_MEDICAL</x:v>
      </x:c>
      <x:c r="K387" s="33" t="str">
        <x:v>Member 2</x:v>
      </x:c>
    </x:row>
    <x:row r="388" ht="24" customHeight="1">
      <x:c r="A388" s="33" t="str">
        <x:v>ESCA_HSE_03_Assets_Training_Health_Sample_Data.xlsx</x:v>
      </x:c>
      <x:c r="B388" s="33" t="str">
        <x:v>Employee_Exposures</x:v>
      </x:c>
      <x:c r="C388" s="33" t="str">
        <x:v>control_status</x:v>
      </x:c>
      <x:c r="D388" s="33" t="str">
        <x:v>enum</x:v>
      </x:c>
      <x:c r="E388" s="34" t="b">
        <x:v>1</x:v>
      </x:c>
      <x:c r="F388" s="33" t="str"/>
      <x:c r="G388" s="50" t="str">
        <x:v>Control approach</x:v>
      </x:c>
      <x:c r="H388" s="33" t="str">
        <x:v>CONTROLLED_WITH_PPE</x:v>
      </x:c>
      <x:c r="I388" s="50" t="str"/>
      <x:c r="J388" s="33" t="str">
        <x:v>RESTRICTED_MEDICAL</x:v>
      </x:c>
      <x:c r="K388" s="33" t="str">
        <x:v>Member 2</x:v>
      </x:c>
    </x:row>
    <x:row r="389" ht="24" customHeight="1">
      <x:c r="A389" s="33" t="str">
        <x:v>ESCA_HSE_03_Assets_Training_Health_Sample_Data.xlsx</x:v>
      </x:c>
      <x:c r="B389" s="33" t="str">
        <x:v>Employee_Exposures</x:v>
      </x:c>
      <x:c r="C389" s="33" t="str">
        <x:v>active_flag</x:v>
      </x:c>
      <x:c r="D389" s="33" t="str">
        <x:v>boolean</x:v>
      </x:c>
      <x:c r="E389" s="34" t="b">
        <x:v>1</x:v>
      </x:c>
      <x:c r="F389" s="33" t="str"/>
      <x:c r="G389" s="50" t="str">
        <x:v>Exposure currently applicable</x:v>
      </x:c>
      <x:c r="H389" s="33" t="str">
        <x:v>true</x:v>
      </x:c>
      <x:c r="I389" s="50" t="str"/>
      <x:c r="J389" s="33" t="str">
        <x:v>RESTRICTED_MEDICAL</x:v>
      </x:c>
      <x:c r="K389" s="33" t="str">
        <x:v>Member 2</x:v>
      </x:c>
    </x:row>
    <x:row r="390" ht="24" customHeight="1">
      <x:c r="A390" s="33" t="str">
        <x:v>ESCA_HSE_03_Assets_Training_Health_Sample_Data.xlsx</x:v>
      </x:c>
      <x:c r="B390" s="33" t="str">
        <x:v>Health_Exams</x:v>
      </x:c>
      <x:c r="C390" s="33" t="str">
        <x:v>exam_id</x:v>
      </x:c>
      <x:c r="D390" s="33" t="str">
        <x:v>id</x:v>
      </x:c>
      <x:c r="E390" s="34" t="b">
        <x:v>1</x:v>
      </x:c>
      <x:c r="F390" s="33" t="str">
        <x:v>PK</x:v>
      </x:c>
      <x:c r="G390" s="50" t="str">
        <x:v>Synthetic exam identifier</x:v>
      </x:c>
      <x:c r="H390" s="33" t="str">
        <x:v>HEX-001</x:v>
      </x:c>
      <x:c r="I390" s="50" t="str"/>
      <x:c r="J390" s="33" t="str">
        <x:v>RESTRICTED_MEDICAL</x:v>
      </x:c>
      <x:c r="K390" s="33" t="str">
        <x:v>Member 2</x:v>
      </x:c>
    </x:row>
    <x:row r="391" ht="24" customHeight="1">
      <x:c r="A391" s="33" t="str">
        <x:v>ESCA_HSE_03_Assets_Training_Health_Sample_Data.xlsx</x:v>
      </x:c>
      <x:c r="B391" s="33" t="str">
        <x:v>Health_Exams</x:v>
      </x:c>
      <x:c r="C391" s="33" t="str">
        <x:v>employee_id</x:v>
      </x:c>
      <x:c r="D391" s="33" t="str">
        <x:v>id</x:v>
      </x:c>
      <x:c r="E391" s="34" t="b">
        <x:v>1</x:v>
      </x:c>
      <x:c r="F391" s="33" t="str">
        <x:v>FK -&gt; Employees.employee_id</x:v>
      </x:c>
      <x:c r="G391" s="50" t="str">
        <x:v>Synthetic employee</x:v>
      </x:c>
      <x:c r="H391" s="33" t="str">
        <x:v>EMP-017</x:v>
      </x:c>
      <x:c r="I391" s="50" t="str"/>
      <x:c r="J391" s="33" t="str">
        <x:v>RESTRICTED_MEDICAL</x:v>
      </x:c>
      <x:c r="K391" s="33" t="str">
        <x:v>Member 2</x:v>
      </x:c>
    </x:row>
    <x:row r="392" ht="24" customHeight="1">
      <x:c r="A392" s="33" t="str">
        <x:v>ESCA_HSE_03_Assets_Training_Health_Sample_Data.xlsx</x:v>
      </x:c>
      <x:c r="B392" s="33" t="str">
        <x:v>Health_Exams</x:v>
      </x:c>
      <x:c r="C392" s="33" t="str">
        <x:v>protocol_id</x:v>
      </x:c>
      <x:c r="D392" s="33" t="str">
        <x:v>id</x:v>
      </x:c>
      <x:c r="E392" s="34" t="b">
        <x:v>1</x:v>
      </x:c>
      <x:c r="F392" s="33" t="str">
        <x:v>FK -&gt; Medical_Protocols.protocol_id</x:v>
      </x:c>
      <x:c r="G392" s="50" t="str">
        <x:v>Medical protocol</x:v>
      </x:c>
      <x:c r="H392" s="33" t="str">
        <x:v>MEDP-001</x:v>
      </x:c>
      <x:c r="I392" s="50" t="str"/>
      <x:c r="J392" s="33" t="str">
        <x:v>RESTRICTED_MEDICAL</x:v>
      </x:c>
      <x:c r="K392" s="33" t="str">
        <x:v>Member 2</x:v>
      </x:c>
    </x:row>
    <x:row r="393" ht="24" customHeight="1">
      <x:c r="A393" s="33" t="str">
        <x:v>ESCA_HSE_03_Assets_Training_Health_Sample_Data.xlsx</x:v>
      </x:c>
      <x:c r="B393" s="33" t="str">
        <x:v>Health_Exams</x:v>
      </x:c>
      <x:c r="C393" s="33" t="str">
        <x:v>scheduled_date</x:v>
      </x:c>
      <x:c r="D393" s="33" t="str">
        <x:v>date</x:v>
      </x:c>
      <x:c r="E393" s="34" t="b">
        <x:v>1</x:v>
      </x:c>
      <x:c r="F393" s="33" t="str"/>
      <x:c r="G393" s="50" t="str">
        <x:v>Scheduled date</x:v>
      </x:c>
      <x:c r="H393" s="33" t="n">
        <x:v>46244</x:v>
      </x:c>
      <x:c r="I393" s="50" t="str"/>
      <x:c r="J393" s="33" t="str">
        <x:v>RESTRICTED_MEDICAL</x:v>
      </x:c>
      <x:c r="K393" s="33" t="str">
        <x:v>Member 2</x:v>
      </x:c>
    </x:row>
    <x:row r="394" ht="24" customHeight="1">
      <x:c r="A394" s="33" t="str">
        <x:v>ESCA_HSE_03_Assets_Training_Health_Sample_Data.xlsx</x:v>
      </x:c>
      <x:c r="B394" s="33" t="str">
        <x:v>Health_Exams</x:v>
      </x:c>
      <x:c r="C394" s="33" t="str">
        <x:v>completed_date</x:v>
      </x:c>
      <x:c r="D394" s="33" t="str">
        <x:v>date</x:v>
      </x:c>
      <x:c r="E394" s="34" t="b">
        <x:v>0</x:v>
      </x:c>
      <x:c r="F394" s="33" t="str"/>
      <x:c r="G394" s="50" t="str">
        <x:v>Completion date</x:v>
      </x:c>
      <x:c r="H394" s="33" t="n">
        <x:v>46235</x:v>
      </x:c>
      <x:c r="I394" s="50" t="str"/>
      <x:c r="J394" s="33" t="str">
        <x:v>RESTRICTED_MEDICAL</x:v>
      </x:c>
      <x:c r="K394" s="33" t="str">
        <x:v>Member 2</x:v>
      </x:c>
    </x:row>
    <x:row r="395" ht="24" customHeight="1">
      <x:c r="A395" s="33" t="str">
        <x:v>ESCA_HSE_03_Assets_Training_Health_Sample_Data.xlsx</x:v>
      </x:c>
      <x:c r="B395" s="33" t="str">
        <x:v>Health_Exams</x:v>
      </x:c>
      <x:c r="C395" s="33" t="str">
        <x:v>fitness_result</x:v>
      </x:c>
      <x:c r="D395" s="33" t="str">
        <x:v>enum</x:v>
      </x:c>
      <x:c r="E395" s="34" t="b">
        <x:v>0</x:v>
      </x:c>
      <x:c r="F395" s="33" t="str"/>
      <x:c r="G395" s="50" t="str">
        <x:v>High-level fitness result only</x:v>
      </x:c>
      <x:c r="H395" s="33" t="str">
        <x:v>FIT</x:v>
      </x:c>
      <x:c r="I395" s="50" t="str">
        <x:v>FIT | FIT_WITH_RESTRICTIONS | UNFIT</x:v>
      </x:c>
      <x:c r="J395" s="33" t="str">
        <x:v>RESTRICTED_MEDICAL</x:v>
      </x:c>
      <x:c r="K395" s="33" t="str">
        <x:v>Member 2</x:v>
      </x:c>
    </x:row>
    <x:row r="396" ht="24" customHeight="1">
      <x:c r="A396" s="33" t="str">
        <x:v>ESCA_HSE_03_Assets_Training_Health_Sample_Data.xlsx</x:v>
      </x:c>
      <x:c r="B396" s="33" t="str">
        <x:v>Health_Exams</x:v>
      </x:c>
      <x:c r="C396" s="33" t="str">
        <x:v>restriction_summary</x:v>
      </x:c>
      <x:c r="D396" s="33" t="str">
        <x:v>long_text</x:v>
      </x:c>
      <x:c r="E396" s="34" t="b">
        <x:v>0</x:v>
      </x:c>
      <x:c r="F396" s="33" t="str"/>
      <x:c r="G396" s="50" t="str">
        <x:v>Synthetic non-diagnostic restriction</x:v>
      </x:c>
      <x:c r="H396" s="33" t="str">
        <x:v>No lifting above 15 kg for 14 days</x:v>
      </x:c>
      <x:c r="I396" s="50" t="str"/>
      <x:c r="J396" s="33" t="str">
        <x:v>RESTRICTED_MEDICAL</x:v>
      </x:c>
      <x:c r="K396" s="33" t="str">
        <x:v>Member 2</x:v>
      </x:c>
    </x:row>
    <x:row r="397" ht="24" customHeight="1">
      <x:c r="A397" s="33" t="str">
        <x:v>ESCA_HSE_03_Assets_Training_Health_Sample_Data.xlsx</x:v>
      </x:c>
      <x:c r="B397" s="33" t="str">
        <x:v>Health_Exams</x:v>
      </x:c>
      <x:c r="C397" s="33" t="str">
        <x:v>next_due_date</x:v>
      </x:c>
      <x:c r="D397" s="33" t="str">
        <x:v>date</x:v>
      </x:c>
      <x:c r="E397" s="34" t="b">
        <x:v>1</x:v>
      </x:c>
      <x:c r="F397" s="33" t="str"/>
      <x:c r="G397" s="50" t="str">
        <x:v>Next due date</x:v>
      </x:c>
      <x:c r="H397" s="33" t="n">
        <x:v>46244</x:v>
      </x:c>
      <x:c r="I397" s="50" t="str"/>
      <x:c r="J397" s="33" t="str">
        <x:v>RESTRICTED_MEDICAL</x:v>
      </x:c>
      <x:c r="K397" s="33" t="str">
        <x:v>Member 2</x:v>
      </x:c>
    </x:row>
    <x:row r="398" ht="24" customHeight="1">
      <x:c r="A398" s="33" t="str">
        <x:v>ESCA_HSE_03_Assets_Training_Health_Sample_Data.xlsx</x:v>
      </x:c>
      <x:c r="B398" s="33" t="str">
        <x:v>Health_Exams</x:v>
      </x:c>
      <x:c r="C398" s="33" t="str">
        <x:v>status</x:v>
      </x:c>
      <x:c r="D398" s="33" t="str">
        <x:v>enum</x:v>
      </x:c>
      <x:c r="E398" s="34" t="b">
        <x:v>1</x:v>
      </x:c>
      <x:c r="F398" s="33" t="str"/>
      <x:c r="G398" s="50" t="str">
        <x:v>Exam status</x:v>
      </x:c>
      <x:c r="H398" s="33" t="str">
        <x:v>OVERDUE</x:v>
      </x:c>
      <x:c r="I398" s="50" t="str">
        <x:v>SCHEDULED | OVERDUE | COMPLETED | CANCELLED</x:v>
      </x:c>
      <x:c r="J398" s="33" t="str">
        <x:v>RESTRICTED_MEDICAL</x:v>
      </x:c>
      <x:c r="K398" s="33" t="str">
        <x:v>Member 2</x:v>
      </x:c>
    </x:row>
    <x:row r="399" ht="24" customHeight="1">
      <x:c r="A399" s="33" t="str">
        <x:v>ESCA_HSE_03_Assets_Training_Health_Sample_Data.xlsx</x:v>
      </x:c>
      <x:c r="B399" s="33" t="str">
        <x:v>Health_Exams</x:v>
      </x:c>
      <x:c r="C399" s="33" t="str">
        <x:v>clinician_alias</x:v>
      </x:c>
      <x:c r="D399" s="33" t="str">
        <x:v>text</x:v>
      </x:c>
      <x:c r="E399" s="34" t="b">
        <x:v>1</x:v>
      </x:c>
      <x:c r="F399" s="33" t="str"/>
      <x:c r="G399" s="50" t="str">
        <x:v>Synthetic clinician alias</x:v>
      </x:c>
      <x:c r="H399" s="33" t="str">
        <x:v>CLINICIAN-01</x:v>
      </x:c>
      <x:c r="I399" s="50" t="str"/>
      <x:c r="J399" s="33" t="str">
        <x:v>RESTRICTED_MEDICAL</x:v>
      </x:c>
      <x:c r="K399" s="33" t="str">
        <x:v>Member 2</x:v>
      </x:c>
    </x:row>
    <x:row r="400" ht="24" customHeight="1">
      <x:c r="A400" s="33" t="str">
        <x:v>ESCA_HSE_03_Assets_Training_Health_Sample_Data.xlsx</x:v>
      </x:c>
      <x:c r="B400" s="33" t="str">
        <x:v>Health_Exams</x:v>
      </x:c>
      <x:c r="C400" s="33" t="str">
        <x:v>confidentiality_level</x:v>
      </x:c>
      <x:c r="D400" s="33" t="str">
        <x:v>enum</x:v>
      </x:c>
      <x:c r="E400" s="34" t="b">
        <x:v>1</x:v>
      </x:c>
      <x:c r="F400" s="33" t="str"/>
      <x:c r="G400" s="50" t="str">
        <x:v>Access classification</x:v>
      </x:c>
      <x:c r="H400" s="33" t="str">
        <x:v>RESTRICTED</x:v>
      </x:c>
      <x:c r="I400" s="50" t="str">
        <x:v>RESTRICTED | CONFIDENTIAL</x:v>
      </x:c>
      <x:c r="J400" s="33" t="str">
        <x:v>RESTRICTED_MEDICAL</x:v>
      </x:c>
      <x:c r="K400" s="33" t="str">
        <x:v>Member 2</x:v>
      </x:c>
    </x:row>
    <x:row r="401" ht="24" customHeight="1">
      <x:c r="A401" s="33" t="str">
        <x:v>ESCA_HSE_03_Assets_Training_Health_Sample_Data.xlsx</x:v>
      </x:c>
      <x:c r="B401" s="33" t="str">
        <x:v>Health_Exams</x:v>
      </x:c>
      <x:c r="C401" s="33" t="str">
        <x:v>days_overdue</x:v>
      </x:c>
      <x:c r="D401" s="33" t="str">
        <x:v>formula</x:v>
      </x:c>
      <x:c r="E401" s="34" t="b">
        <x:v>1</x:v>
      </x:c>
      <x:c r="F401" s="33" t="str"/>
      <x:c r="G401" s="50" t="str">
        <x:v>Derived overdue days</x:v>
      </x:c>
      <x:c r="H401" s="33" t="str">
        <x:v>Formula-derived</x:v>
      </x:c>
      <x:c r="I401" s="50" t="str"/>
      <x:c r="J401" s="33" t="str">
        <x:v>RESTRICTED_MEDICAL</x:v>
      </x:c>
      <x:c r="K401" s="33" t="str">
        <x:v>Member 2</x:v>
      </x:c>
    </x:row>
    <x:row r="402" ht="24" customHeight="1">
      <x:c r="A402" s="33" t="str">
        <x:v>ESCA_HSE_03_Assets_Training_Health_Sample_Data.xlsx</x:v>
      </x:c>
      <x:c r="B402" s="33" t="str">
        <x:v>Clinic_Visits</x:v>
      </x:c>
      <x:c r="C402" s="33" t="str">
        <x:v>visit_id</x:v>
      </x:c>
      <x:c r="D402" s="33" t="str">
        <x:v>id</x:v>
      </x:c>
      <x:c r="E402" s="34" t="b">
        <x:v>1</x:v>
      </x:c>
      <x:c r="F402" s="33" t="str">
        <x:v>PK</x:v>
      </x:c>
      <x:c r="G402" s="50" t="str">
        <x:v>Synthetic visit identifier</x:v>
      </x:c>
      <x:c r="H402" s="33" t="str">
        <x:v>MED-0244</x:v>
      </x:c>
      <x:c r="I402" s="50" t="str"/>
      <x:c r="J402" s="33" t="str">
        <x:v>RESTRICTED_MEDICAL</x:v>
      </x:c>
      <x:c r="K402" s="33" t="str">
        <x:v>Member 2</x:v>
      </x:c>
    </x:row>
    <x:row r="403" ht="24" customHeight="1">
      <x:c r="A403" s="33" t="str">
        <x:v>ESCA_HSE_03_Assets_Training_Health_Sample_Data.xlsx</x:v>
      </x:c>
      <x:c r="B403" s="33" t="str">
        <x:v>Clinic_Visits</x:v>
      </x:c>
      <x:c r="C403" s="33" t="str">
        <x:v>employee_id</x:v>
      </x:c>
      <x:c r="D403" s="33" t="str">
        <x:v>id</x:v>
      </x:c>
      <x:c r="E403" s="34" t="b">
        <x:v>1</x:v>
      </x:c>
      <x:c r="F403" s="33" t="str">
        <x:v>FK -&gt; Employees.employee_id</x:v>
      </x:c>
      <x:c r="G403" s="50" t="str">
        <x:v>Synthetic employee</x:v>
      </x:c>
      <x:c r="H403" s="33" t="str">
        <x:v>EMP-021</x:v>
      </x:c>
      <x:c r="I403" s="50" t="str"/>
      <x:c r="J403" s="33" t="str">
        <x:v>RESTRICTED_MEDICAL</x:v>
      </x:c>
      <x:c r="K403" s="33" t="str">
        <x:v>Member 2</x:v>
      </x:c>
    </x:row>
    <x:row r="404" ht="24" customHeight="1">
      <x:c r="A404" s="33" t="str">
        <x:v>ESCA_HSE_03_Assets_Training_Health_Sample_Data.xlsx</x:v>
      </x:c>
      <x:c r="B404" s="33" t="str">
        <x:v>Clinic_Visits</x:v>
      </x:c>
      <x:c r="C404" s="33" t="str">
        <x:v>visit_at</x:v>
      </x:c>
      <x:c r="D404" s="33" t="str">
        <x:v>datetime</x:v>
      </x:c>
      <x:c r="E404" s="34" t="b">
        <x:v>1</x:v>
      </x:c>
      <x:c r="F404" s="33" t="str"/>
      <x:c r="G404" s="50" t="str">
        <x:v>Visit timestamp</x:v>
      </x:c>
      <x:c r="H404" s="33" t="n">
        <x:v>46240.270833333336</x:v>
      </x:c>
      <x:c r="I404" s="50" t="str"/>
      <x:c r="J404" s="33" t="str">
        <x:v>RESTRICTED_MEDICAL</x:v>
      </x:c>
      <x:c r="K404" s="33" t="str">
        <x:v>Member 2</x:v>
      </x:c>
    </x:row>
    <x:row r="405" ht="24" customHeight="1">
      <x:c r="A405" s="33" t="str">
        <x:v>ESCA_HSE_03_Assets_Training_Health_Sample_Data.xlsx</x:v>
      </x:c>
      <x:c r="B405" s="33" t="str">
        <x:v>Clinic_Visits</x:v>
      </x:c>
      <x:c r="C405" s="33" t="str">
        <x:v>visit_type</x:v>
      </x:c>
      <x:c r="D405" s="33" t="str">
        <x:v>enum</x:v>
      </x:c>
      <x:c r="E405" s="34" t="b">
        <x:v>1</x:v>
      </x:c>
      <x:c r="F405" s="33" t="str"/>
      <x:c r="G405" s="50" t="str">
        <x:v>Visit category</x:v>
      </x:c>
      <x:c r="H405" s="33" t="str">
        <x:v>WORK_INJURY</x:v>
      </x:c>
      <x:c r="I405" s="50" t="str"/>
      <x:c r="J405" s="33" t="str">
        <x:v>RESTRICTED_MEDICAL</x:v>
      </x:c>
      <x:c r="K405" s="33" t="str">
        <x:v>Member 2</x:v>
      </x:c>
    </x:row>
    <x:row r="406" ht="24" customHeight="1">
      <x:c r="A406" s="33" t="str">
        <x:v>ESCA_HSE_03_Assets_Training_Health_Sample_Data.xlsx</x:v>
      </x:c>
      <x:c r="B406" s="33" t="str">
        <x:v>Clinic_Visits</x:v>
      </x:c>
      <x:c r="C406" s="33" t="str">
        <x:v>work_related_flag</x:v>
      </x:c>
      <x:c r="D406" s="33" t="str">
        <x:v>boolean</x:v>
      </x:c>
      <x:c r="E406" s="34" t="b">
        <x:v>1</x:v>
      </x:c>
      <x:c r="F406" s="33" t="str"/>
      <x:c r="G406" s="50" t="str">
        <x:v>Potentially work related</x:v>
      </x:c>
      <x:c r="H406" s="33" t="str">
        <x:v>true</x:v>
      </x:c>
      <x:c r="I406" s="50" t="str"/>
      <x:c r="J406" s="33" t="str">
        <x:v>RESTRICTED_MEDICAL</x:v>
      </x:c>
      <x:c r="K406" s="33" t="str">
        <x:v>Member 2</x:v>
      </x:c>
    </x:row>
    <x:row r="407" ht="24" customHeight="1">
      <x:c r="A407" s="33" t="str">
        <x:v>ESCA_HSE_03_Assets_Training_Health_Sample_Data.xlsx</x:v>
      </x:c>
      <x:c r="B407" s="33" t="str">
        <x:v>Clinic_Visits</x:v>
      </x:c>
      <x:c r="C407" s="33" t="str">
        <x:v>incident_id</x:v>
      </x:c>
      <x:c r="D407" s="33" t="str">
        <x:v>id</x:v>
      </x:c>
      <x:c r="E407" s="34" t="b">
        <x:v>0</x:v>
      </x:c>
      <x:c r="F407" s="33" t="str">
        <x:v>FK -&gt; Incidents.incident_id</x:v>
      </x:c>
      <x:c r="G407" s="50" t="str">
        <x:v>Linked incident</x:v>
      </x:c>
      <x:c r="H407" s="33" t="str">
        <x:v>INC-2026-0089</x:v>
      </x:c>
      <x:c r="I407" s="50" t="str"/>
      <x:c r="J407" s="33" t="str">
        <x:v>RESTRICTED_MEDICAL</x:v>
      </x:c>
      <x:c r="K407" s="33" t="str">
        <x:v>Member 2</x:v>
      </x:c>
    </x:row>
    <x:row r="408" ht="24" customHeight="1">
      <x:c r="A408" s="33" t="str">
        <x:v>ESCA_HSE_03_Assets_Training_Health_Sample_Data.xlsx</x:v>
      </x:c>
      <x:c r="B408" s="33" t="str">
        <x:v>Clinic_Visits</x:v>
      </x:c>
      <x:c r="C408" s="33" t="str">
        <x:v>decision</x:v>
      </x:c>
      <x:c r="D408" s="33" t="str">
        <x:v>enum</x:v>
      </x:c>
      <x:c r="E408" s="34" t="b">
        <x:v>1</x:v>
      </x:c>
      <x:c r="F408" s="33" t="str"/>
      <x:c r="G408" s="50" t="str">
        <x:v>High-level return/referral decision</x:v>
      </x:c>
      <x:c r="H408" s="33" t="str">
        <x:v>RETURN_WITH_RESTRICTIONS</x:v>
      </x:c>
      <x:c r="I408" s="50" t="str"/>
      <x:c r="J408" s="33" t="str">
        <x:v>RESTRICTED_MEDICAL</x:v>
      </x:c>
      <x:c r="K408" s="33" t="str">
        <x:v>Member 2</x:v>
      </x:c>
    </x:row>
    <x:row r="409" ht="24" customHeight="1">
      <x:c r="A409" s="33" t="str">
        <x:v>ESCA_HSE_03_Assets_Training_Health_Sample_Data.xlsx</x:v>
      </x:c>
      <x:c r="B409" s="33" t="str">
        <x:v>Clinic_Visits</x:v>
      </x:c>
      <x:c r="C409" s="33" t="str">
        <x:v>rest_days</x:v>
      </x:c>
      <x:c r="D409" s="33" t="str">
        <x:v>integer</x:v>
      </x:c>
      <x:c r="E409" s="34" t="b">
        <x:v>1</x:v>
      </x:c>
      <x:c r="F409" s="33" t="str"/>
      <x:c r="G409" s="50" t="str">
        <x:v>Synthetic rest days</x:v>
      </x:c>
      <x:c r="H409" s="33" t="str">
        <x:v>0</x:v>
      </x:c>
      <x:c r="I409" s="50" t="str"/>
      <x:c r="J409" s="33" t="str">
        <x:v>RESTRICTED_MEDICAL</x:v>
      </x:c>
      <x:c r="K409" s="33" t="str">
        <x:v>Member 2</x:v>
      </x:c>
    </x:row>
    <x:row r="410" ht="24" customHeight="1">
      <x:c r="A410" s="33" t="str">
        <x:v>ESCA_HSE_03_Assets_Training_Health_Sample_Data.xlsx</x:v>
      </x:c>
      <x:c r="B410" s="33" t="str">
        <x:v>Clinic_Visits</x:v>
      </x:c>
      <x:c r="C410" s="33" t="str">
        <x:v>restriction_summary</x:v>
      </x:c>
      <x:c r="D410" s="33" t="str">
        <x:v>long_text</x:v>
      </x:c>
      <x:c r="E410" s="34" t="b">
        <x:v>0</x:v>
      </x:c>
      <x:c r="F410" s="33" t="str"/>
      <x:c r="G410" s="50" t="str">
        <x:v>Synthetic restriction only</x:v>
      </x:c>
      <x:c r="H410" s="33" t="str">
        <x:v>Avoid handling sharp parts for 3 days</x:v>
      </x:c>
      <x:c r="I410" s="50" t="str"/>
      <x:c r="J410" s="33" t="str">
        <x:v>RESTRICTED_MEDICAL</x:v>
      </x:c>
      <x:c r="K410" s="33" t="str">
        <x:v>Member 2</x:v>
      </x:c>
    </x:row>
    <x:row r="411" ht="24" customHeight="1">
      <x:c r="A411" s="33" t="str">
        <x:v>ESCA_HSE_03_Assets_Training_Health_Sample_Data.xlsx</x:v>
      </x:c>
      <x:c r="B411" s="33" t="str">
        <x:v>Clinic_Visits</x:v>
      </x:c>
      <x:c r="C411" s="33" t="str">
        <x:v>status</x:v>
      </x:c>
      <x:c r="D411" s="33" t="str">
        <x:v>enum</x:v>
      </x:c>
      <x:c r="E411" s="34" t="b">
        <x:v>1</x:v>
      </x:c>
      <x:c r="F411" s="33" t="str"/>
      <x:c r="G411" s="50" t="str">
        <x:v>Visit status</x:v>
      </x:c>
      <x:c r="H411" s="33" t="str">
        <x:v>CLOSED</x:v>
      </x:c>
      <x:c r="I411" s="50" t="str">
        <x:v>OPEN | CLOSED | REFERRED</x:v>
      </x:c>
      <x:c r="J411" s="33" t="str">
        <x:v>RESTRICTED_MEDICAL</x:v>
      </x:c>
      <x:c r="K411" s="33" t="str">
        <x:v>Member 2</x:v>
      </x:c>
    </x:row>
    <x:row r="412" ht="24" customHeight="1">
      <x:c r="A412" s="33" t="str">
        <x:v>ESCA_HSE_03_Assets_Training_Health_Sample_Data.xlsx</x:v>
      </x:c>
      <x:c r="B412" s="33" t="str">
        <x:v>Clinic_Visits</x:v>
      </x:c>
      <x:c r="C412" s="33" t="str">
        <x:v>clinician_alias</x:v>
      </x:c>
      <x:c r="D412" s="33" t="str">
        <x:v>text</x:v>
      </x:c>
      <x:c r="E412" s="34" t="b">
        <x:v>1</x:v>
      </x:c>
      <x:c r="F412" s="33" t="str"/>
      <x:c r="G412" s="50" t="str">
        <x:v>Synthetic clinician alias</x:v>
      </x:c>
      <x:c r="H412" s="33" t="str">
        <x:v>CLINICIAN-01</x:v>
      </x:c>
      <x:c r="I412" s="50" t="str"/>
      <x:c r="J412" s="33" t="str">
        <x:v>RESTRICTED_MEDICAL</x:v>
      </x:c>
      <x:c r="K412" s="33" t="str">
        <x:v>Member 2</x:v>
      </x:c>
    </x:row>
    <x:row r="413" ht="24" customHeight="1">
      <x:c r="A413" s="33" t="str">
        <x:v>ESCA_HSE_03_Assets_Training_Health_Sample_Data.xlsx</x:v>
      </x:c>
      <x:c r="B413" s="33" t="str">
        <x:v>Clinic_Visits</x:v>
      </x:c>
      <x:c r="C413" s="33" t="str">
        <x:v>confidentiality_level</x:v>
      </x:c>
      <x:c r="D413" s="33" t="str">
        <x:v>enum</x:v>
      </x:c>
      <x:c r="E413" s="34" t="b">
        <x:v>1</x:v>
      </x:c>
      <x:c r="F413" s="33" t="str"/>
      <x:c r="G413" s="50" t="str">
        <x:v>Access classification</x:v>
      </x:c>
      <x:c r="H413" s="33" t="str">
        <x:v>CONFIDENTIAL</x:v>
      </x:c>
      <x:c r="I413" s="50" t="str">
        <x:v>CONFIDENTIAL</x:v>
      </x:c>
      <x:c r="J413" s="33" t="str">
        <x:v>RESTRICTED_MEDICAL</x:v>
      </x:c>
      <x:c r="K413" s="33" t="str">
        <x:v>Member 2</x:v>
      </x:c>
    </x:row>
    <x:row r="414" ht="24" customHeight="1">
      <x:c r="A414" s="33" t="str">
        <x:v>ESCA_HSE_03_Assets_Training_Health_Sample_Data.xlsx</x:v>
      </x:c>
      <x:c r="B414" s="33" t="str">
        <x:v>Training_Requirements</x:v>
      </x:c>
      <x:c r="C414" s="33" t="str">
        <x:v>requirement_id</x:v>
      </x:c>
      <x:c r="D414" s="33" t="str">
        <x:v>id</x:v>
      </x:c>
      <x:c r="E414" s="34" t="b">
        <x:v>1</x:v>
      </x:c>
      <x:c r="F414" s="33" t="str">
        <x:v>PK</x:v>
      </x:c>
      <x:c r="G414" s="50" t="str">
        <x:v>Training requirement</x:v>
      </x:c>
      <x:c r="H414" s="33" t="str">
        <x:v>TRQ-001</x:v>
      </x:c>
      <x:c r="I414" s="50" t="str"/>
      <x:c r="J414" s="33" t="str">
        <x:v>INTERNAL_SAMPLE</x:v>
      </x:c>
      <x:c r="K414" s="33" t="str">
        <x:v>Member 2</x:v>
      </x:c>
    </x:row>
    <x:row r="415" ht="24" customHeight="1">
      <x:c r="A415" s="33" t="str">
        <x:v>ESCA_HSE_03_Assets_Training_Health_Sample_Data.xlsx</x:v>
      </x:c>
      <x:c r="B415" s="33" t="str">
        <x:v>Training_Requirements</x:v>
      </x:c>
      <x:c r="C415" s="33" t="str">
        <x:v>target_group</x:v>
      </x:c>
      <x:c r="D415" s="33" t="str">
        <x:v>enum</x:v>
      </x:c>
      <x:c r="E415" s="34" t="b">
        <x:v>1</x:v>
      </x:c>
      <x:c r="F415" s="33" t="str"/>
      <x:c r="G415" s="50" t="str">
        <x:v>Target role/group</x:v>
      </x:c>
      <x:c r="H415" s="33" t="str">
        <x:v>ALL_EMPLOYEES</x:v>
      </x:c>
      <x:c r="I415" s="50" t="str"/>
      <x:c r="J415" s="33" t="str">
        <x:v>INTERNAL_SAMPLE</x:v>
      </x:c>
      <x:c r="K415" s="33" t="str">
        <x:v>Member 2</x:v>
      </x:c>
    </x:row>
    <x:row r="416" ht="24" customHeight="1">
      <x:c r="A416" s="33" t="str">
        <x:v>ESCA_HSE_03_Assets_Training_Health_Sample_Data.xlsx</x:v>
      </x:c>
      <x:c r="B416" s="33" t="str">
        <x:v>Training_Requirements</x:v>
      </x:c>
      <x:c r="C416" s="33" t="str">
        <x:v>course_id</x:v>
      </x:c>
      <x:c r="D416" s="33" t="str">
        <x:v>id</x:v>
      </x:c>
      <x:c r="E416" s="34" t="b">
        <x:v>1</x:v>
      </x:c>
      <x:c r="F416" s="33" t="str">
        <x:v>FK -&gt; Training_Courses.course_id</x:v>
      </x:c>
      <x:c r="G416" s="50" t="str">
        <x:v>Required course</x:v>
      </x:c>
      <x:c r="H416" s="33" t="str">
        <x:v>CRS-GEN</x:v>
      </x:c>
      <x:c r="I416" s="50" t="str"/>
      <x:c r="J416" s="33" t="str">
        <x:v>INTERNAL_SAMPLE</x:v>
      </x:c>
      <x:c r="K416" s="33" t="str">
        <x:v>Member 2</x:v>
      </x:c>
    </x:row>
    <x:row r="417" ht="24" customHeight="1">
      <x:c r="A417" s="33" t="str">
        <x:v>ESCA_HSE_03_Assets_Training_Health_Sample_Data.xlsx</x:v>
      </x:c>
      <x:c r="B417" s="33" t="str">
        <x:v>Training_Requirements</x:v>
      </x:c>
      <x:c r="C417" s="33" t="str">
        <x:v>mandatory_flag</x:v>
      </x:c>
      <x:c r="D417" s="33" t="str">
        <x:v>boolean</x:v>
      </x:c>
      <x:c r="E417" s="34" t="b">
        <x:v>1</x:v>
      </x:c>
      <x:c r="F417" s="33" t="str"/>
      <x:c r="G417" s="50" t="str">
        <x:v>Whether mandatory</x:v>
      </x:c>
      <x:c r="H417" s="33" t="str">
        <x:v>true</x:v>
      </x:c>
      <x:c r="I417" s="50" t="str"/>
      <x:c r="J417" s="33" t="str">
        <x:v>INTERNAL_SAMPLE</x:v>
      </x:c>
      <x:c r="K417" s="33" t="str">
        <x:v>Member 2</x:v>
      </x:c>
    </x:row>
    <x:row r="418" ht="24" customHeight="1">
      <x:c r="A418" s="33" t="str">
        <x:v>ESCA_HSE_03_Assets_Training_Health_Sample_Data.xlsx</x:v>
      </x:c>
      <x:c r="B418" s="33" t="str">
        <x:v>Training_Requirements</x:v>
      </x:c>
      <x:c r="C418" s="33" t="str">
        <x:v>scope_type</x:v>
      </x:c>
      <x:c r="D418" s="33" t="str">
        <x:v>enum</x:v>
      </x:c>
      <x:c r="E418" s="34" t="b">
        <x:v>1</x:v>
      </x:c>
      <x:c r="F418" s="33" t="str"/>
      <x:c r="G418" s="50" t="str">
        <x:v>Requirement scope</x:v>
      </x:c>
      <x:c r="H418" s="33" t="str">
        <x:v>SITE</x:v>
      </x:c>
      <x:c r="I418" s="50" t="str">
        <x:v>SITE | DEPARTMENT | ROLE_GROUP</x:v>
      </x:c>
      <x:c r="J418" s="33" t="str">
        <x:v>INTERNAL_SAMPLE</x:v>
      </x:c>
      <x:c r="K418" s="33" t="str">
        <x:v>Member 2</x:v>
      </x:c>
    </x:row>
    <x:row r="419" ht="24" customHeight="1">
      <x:c r="A419" s="33" t="str">
        <x:v>ESCA_HSE_03_Assets_Training_Health_Sample_Data.xlsx</x:v>
      </x:c>
      <x:c r="B419" s="33" t="str">
        <x:v>Training_Requirements</x:v>
      </x:c>
      <x:c r="C419" s="33" t="str">
        <x:v>notes</x:v>
      </x:c>
      <x:c r="D419" s="33" t="str">
        <x:v>long_text</x:v>
      </x:c>
      <x:c r="E419" s="34" t="b">
        <x:v>1</x:v>
      </x:c>
      <x:c r="F419" s="33" t="str"/>
      <x:c r="G419" s="50" t="str">
        <x:v>Applicability notes</x:v>
      </x:c>
      <x:c r="H419" s="33" t="str">
        <x:v>General induction and annual refresher</x:v>
      </x:c>
      <x:c r="I419" s="50" t="str"/>
      <x:c r="J419" s="33" t="str">
        <x:v>INTERNAL_SAMPLE</x:v>
      </x:c>
      <x:c r="K419" s="33" t="str">
        <x:v>Member 2</x:v>
      </x:c>
    </x:row>
    <x:row r="420" ht="24" customHeight="1">
      <x:c r="A420" s="33" t="str">
        <x:v>ESCA_HSE_03_Assets_Training_Health_Sample_Data.xlsx</x:v>
      </x:c>
      <x:c r="B420" s="33" t="str">
        <x:v>Training_Requirements</x:v>
      </x:c>
      <x:c r="C420" s="33" t="str">
        <x:v>active_flag</x:v>
      </x:c>
      <x:c r="D420" s="33" t="str">
        <x:v>boolean</x:v>
      </x:c>
      <x:c r="E420" s="34" t="b">
        <x:v>1</x:v>
      </x:c>
      <x:c r="F420" s="33" t="str"/>
      <x:c r="G420" s="50" t="str">
        <x:v>Requirement active</x:v>
      </x:c>
      <x:c r="H420" s="33" t="str">
        <x:v>true</x:v>
      </x:c>
      <x:c r="I420" s="50" t="str"/>
      <x:c r="J420" s="33" t="str">
        <x:v>INTERNAL_SAMPLE</x:v>
      </x:c>
      <x:c r="K420" s="33" t="str">
        <x:v>Member 2</x:v>
      </x:c>
    </x:row>
    <x:row r="421" ht="24" customHeight="1">
      <x:c r="A421" s="33" t="str">
        <x:v>ESCA_HSE_03_Assets_Training_Health_Sample_Data.xlsx</x:v>
      </x:c>
      <x:c r="B421" s="33" t="str">
        <x:v>PPE_Transactions</x:v>
      </x:c>
      <x:c r="C421" s="33" t="str">
        <x:v>transaction_id</x:v>
      </x:c>
      <x:c r="D421" s="33" t="str">
        <x:v>id</x:v>
      </x:c>
      <x:c r="E421" s="34" t="b">
        <x:v>1</x:v>
      </x:c>
      <x:c r="F421" s="33" t="str">
        <x:v>PK</x:v>
      </x:c>
      <x:c r="G421" s="50" t="str">
        <x:v>PPE inventory movement</x:v>
      </x:c>
      <x:c r="H421" s="33" t="str">
        <x:v>PPET-0001</x:v>
      </x:c>
      <x:c r="I421" s="50" t="str"/>
      <x:c r="J421" s="33" t="str">
        <x:v>INTERNAL_SAMPLE</x:v>
      </x:c>
      <x:c r="K421" s="33" t="str">
        <x:v>Member 6</x:v>
      </x:c>
    </x:row>
    <x:row r="422" ht="24" customHeight="1">
      <x:c r="A422" s="33" t="str">
        <x:v>ESCA_HSE_03_Assets_Training_Health_Sample_Data.xlsx</x:v>
      </x:c>
      <x:c r="B422" s="33" t="str">
        <x:v>PPE_Transactions</x:v>
      </x:c>
      <x:c r="C422" s="33" t="str">
        <x:v>ppe_item_id</x:v>
      </x:c>
      <x:c r="D422" s="33" t="str">
        <x:v>id</x:v>
      </x:c>
      <x:c r="E422" s="34" t="b">
        <x:v>1</x:v>
      </x:c>
      <x:c r="F422" s="33" t="str">
        <x:v>FK -&gt; PPE_Inventory.ppe_item_id</x:v>
      </x:c>
      <x:c r="G422" s="50" t="str">
        <x:v>PPE item</x:v>
      </x:c>
      <x:c r="H422" s="33" t="str">
        <x:v>PPE-001</x:v>
      </x:c>
      <x:c r="I422" s="50" t="str"/>
      <x:c r="J422" s="33" t="str">
        <x:v>INTERNAL_SAMPLE</x:v>
      </x:c>
      <x:c r="K422" s="33" t="str">
        <x:v>Member 6</x:v>
      </x:c>
    </x:row>
    <x:row r="423" ht="24" customHeight="1">
      <x:c r="A423" s="33" t="str">
        <x:v>ESCA_HSE_03_Assets_Training_Health_Sample_Data.xlsx</x:v>
      </x:c>
      <x:c r="B423" s="33" t="str">
        <x:v>PPE_Transactions</x:v>
      </x:c>
      <x:c r="C423" s="33" t="str">
        <x:v>employee_id</x:v>
      </x:c>
      <x:c r="D423" s="33" t="str">
        <x:v>id</x:v>
      </x:c>
      <x:c r="E423" s="34" t="b">
        <x:v>1</x:v>
      </x:c>
      <x:c r="F423" s="33" t="str">
        <x:v>FK -&gt; Employees.employee_id</x:v>
      </x:c>
      <x:c r="G423" s="50" t="str">
        <x:v>Employee receiving/returning PPE</x:v>
      </x:c>
      <x:c r="H423" s="33" t="str">
        <x:v>EMP-017</x:v>
      </x:c>
      <x:c r="I423" s="50" t="str"/>
      <x:c r="J423" s="33" t="str">
        <x:v>INTERNAL_SAMPLE</x:v>
      </x:c>
      <x:c r="K423" s="33" t="str">
        <x:v>Member 6</x:v>
      </x:c>
    </x:row>
    <x:row r="424" ht="24" customHeight="1">
      <x:c r="A424" s="33" t="str">
        <x:v>ESCA_HSE_03_Assets_Training_Health_Sample_Data.xlsx</x:v>
      </x:c>
      <x:c r="B424" s="33" t="str">
        <x:v>PPE_Transactions</x:v>
      </x:c>
      <x:c r="C424" s="33" t="str">
        <x:v>transaction_type</x:v>
      </x:c>
      <x:c r="D424" s="33" t="str">
        <x:v>enum</x:v>
      </x:c>
      <x:c r="E424" s="34" t="b">
        <x:v>1</x:v>
      </x:c>
      <x:c r="F424" s="33" t="str"/>
      <x:c r="G424" s="50" t="str">
        <x:v>Movement type</x:v>
      </x:c>
      <x:c r="H424" s="33" t="str">
        <x:v>RETURN</x:v>
      </x:c>
      <x:c r="I424" s="50" t="str">
        <x:v>ISSUE | RETURN | ADJUSTMENT | DISPOSAL</x:v>
      </x:c>
      <x:c r="J424" s="33" t="str">
        <x:v>INTERNAL_SAMPLE</x:v>
      </x:c>
      <x:c r="K424" s="33" t="str">
        <x:v>Member 6</x:v>
      </x:c>
    </x:row>
    <x:row r="425" ht="24" customHeight="1">
      <x:c r="A425" s="33" t="str">
        <x:v>ESCA_HSE_03_Assets_Training_Health_Sample_Data.xlsx</x:v>
      </x:c>
      <x:c r="B425" s="33" t="str">
        <x:v>PPE_Transactions</x:v>
      </x:c>
      <x:c r="C425" s="33" t="str">
        <x:v>quantity</x:v>
      </x:c>
      <x:c r="D425" s="33" t="str">
        <x:v>integer</x:v>
      </x:c>
      <x:c r="E425" s="34" t="b">
        <x:v>1</x:v>
      </x:c>
      <x:c r="F425" s="33" t="str"/>
      <x:c r="G425" s="50" t="str">
        <x:v>Movement quantity</x:v>
      </x:c>
      <x:c r="H425" s="33" t="str">
        <x:v>1</x:v>
      </x:c>
      <x:c r="I425" s="50" t="str"/>
      <x:c r="J425" s="33" t="str">
        <x:v>INTERNAL_SAMPLE</x:v>
      </x:c>
      <x:c r="K425" s="33" t="str">
        <x:v>Member 6</x:v>
      </x:c>
    </x:row>
    <x:row r="426" ht="24" customHeight="1">
      <x:c r="A426" s="33" t="str">
        <x:v>ESCA_HSE_03_Assets_Training_Health_Sample_Data.xlsx</x:v>
      </x:c>
      <x:c r="B426" s="33" t="str">
        <x:v>PPE_Transactions</x:v>
      </x:c>
      <x:c r="C426" s="33" t="str">
        <x:v>transacted_at</x:v>
      </x:c>
      <x:c r="D426" s="33" t="str">
        <x:v>datetime</x:v>
      </x:c>
      <x:c r="E426" s="34" t="b">
        <x:v>1</x:v>
      </x:c>
      <x:c r="F426" s="33" t="str"/>
      <x:c r="G426" s="50" t="str">
        <x:v>Transaction time</x:v>
      </x:c>
      <x:c r="H426" s="33" t="n">
        <x:v>46235.21875</x:v>
      </x:c>
      <x:c r="I426" s="50" t="str"/>
      <x:c r="J426" s="33" t="str">
        <x:v>INTERNAL_SAMPLE</x:v>
      </x:c>
      <x:c r="K426" s="33" t="str">
        <x:v>Member 6</x:v>
      </x:c>
    </x:row>
    <x:row r="427" ht="24" customHeight="1">
      <x:c r="A427" s="33" t="str">
        <x:v>ESCA_HSE_03_Assets_Training_Health_Sample_Data.xlsx</x:v>
      </x:c>
      <x:c r="B427" s="33" t="str">
        <x:v>PPE_Transactions</x:v>
      </x:c>
      <x:c r="C427" s="33" t="str">
        <x:v>processed_by</x:v>
      </x:c>
      <x:c r="D427" s="33" t="str">
        <x:v>id</x:v>
      </x:c>
      <x:c r="E427" s="34" t="b">
        <x:v>1</x:v>
      </x:c>
      <x:c r="F427" s="33" t="str">
        <x:v>FK -&gt; Employees.employee_id</x:v>
      </x:c>
      <x:c r="G427" s="50" t="str">
        <x:v>Storekeeper</x:v>
      </x:c>
      <x:c r="H427" s="33" t="str">
        <x:v>EMP-016</x:v>
      </x:c>
      <x:c r="I427" s="50" t="str"/>
      <x:c r="J427" s="33" t="str">
        <x:v>INTERNAL_SAMPLE</x:v>
      </x:c>
      <x:c r="K427" s="33" t="str">
        <x:v>Member 6</x:v>
      </x:c>
    </x:row>
    <x:row r="428" ht="24" customHeight="1">
      <x:c r="A428" s="33" t="str">
        <x:v>ESCA_HSE_03_Assets_Training_Health_Sample_Data.xlsx</x:v>
      </x:c>
      <x:c r="B428" s="33" t="str">
        <x:v>PPE_Transactions</x:v>
      </x:c>
      <x:c r="C428" s="33" t="str">
        <x:v>reason</x:v>
      </x:c>
      <x:c r="D428" s="33" t="str">
        <x:v>text</x:v>
      </x:c>
      <x:c r="E428" s="34" t="b">
        <x:v>1</x:v>
      </x:c>
      <x:c r="F428" s="33" t="str"/>
      <x:c r="G428" s="50" t="str">
        <x:v>Issue or return reason</x:v>
      </x:c>
      <x:c r="H428" s="33" t="str">
        <x:v>Replacement</x:v>
      </x:c>
      <x:c r="I428" s="50" t="str"/>
      <x:c r="J428" s="33" t="str">
        <x:v>INTERNAL_SAMPLE</x:v>
      </x:c>
      <x:c r="K428" s="33" t="str">
        <x:v>Member 6</x:v>
      </x:c>
    </x:row>
    <x:row r="429" ht="24" customHeight="1">
      <x:c r="A429" s="33" t="str">
        <x:v>ESCA_HSE_03_Assets_Training_Health_Sample_Data.xlsx</x:v>
      </x:c>
      <x:c r="B429" s="33" t="str">
        <x:v>PPE_Transactions</x:v>
      </x:c>
      <x:c r="C429" s="33" t="str">
        <x:v>permit_id</x:v>
      </x:c>
      <x:c r="D429" s="33" t="str">
        <x:v>id</x:v>
      </x:c>
      <x:c r="E429" s="34" t="b">
        <x:v>0</x:v>
      </x:c>
      <x:c r="F429" s="33" t="str">
        <x:v>FK -&gt; Permits.permit_id</x:v>
      </x:c>
      <x:c r="G429" s="50" t="str">
        <x:v>Optional linked permit</x:v>
      </x:c>
      <x:c r="H429" s="33" t="str">
        <x:v>PTW-2026-0412</x:v>
      </x:c>
      <x:c r="I429" s="50" t="str"/>
      <x:c r="J429" s="33" t="str">
        <x:v>INTERNAL_SAMPLE</x:v>
      </x:c>
      <x:c r="K429" s="33" t="str">
        <x:v>Member 6</x:v>
      </x:c>
    </x:row>
    <x:row r="430" ht="24" customHeight="1">
      <x:c r="A430" s="33" t="str">
        <x:v>ESCA_HSE_03_Assets_Training_Health_Sample_Data.xlsx</x:v>
      </x:c>
      <x:c r="B430" s="33" t="str">
        <x:v>PPE_Transactions</x:v>
      </x:c>
      <x:c r="C430" s="33" t="str">
        <x:v>notes</x:v>
      </x:c>
      <x:c r="D430" s="33" t="str">
        <x:v>long_text</x:v>
      </x:c>
      <x:c r="E430" s="34" t="b">
        <x:v>1</x:v>
      </x:c>
      <x:c r="F430" s="33" t="str"/>
      <x:c r="G430" s="50" t="str">
        <x:v>Synthetic transaction note</x:v>
      </x:c>
      <x:c r="H430" s="33" t="str">
        <x:v>Synthetic stock movement</x:v>
      </x:c>
      <x:c r="I430" s="50" t="str"/>
      <x:c r="J430" s="33" t="str">
        <x:v>INTERNAL_SAMPLE</x:v>
      </x:c>
      <x:c r="K430" s="33" t="str">
        <x:v>Member 6</x:v>
      </x:c>
    </x:row>
    <x:row r="431" ht="24" customHeight="1">
      <x:c r="A431" s="33" t="str">
        <x:v>ESCA_HSE_03_Assets_Training_Health_Sample_Data.xlsx</x:v>
      </x:c>
      <x:c r="B431" s="33" t="str">
        <x:v>Fixed_Safety_Assets</x:v>
      </x:c>
      <x:c r="C431" s="33" t="str">
        <x:v>asset_summary_id</x:v>
      </x:c>
      <x:c r="D431" s="33" t="str">
        <x:v>id</x:v>
      </x:c>
      <x:c r="E431" s="34" t="b">
        <x:v>1</x:v>
      </x:c>
      <x:c r="F431" s="33" t="str">
        <x:v>PK</x:v>
      </x:c>
      <x:c r="G431" s="50" t="str">
        <x:v>Fixed safety asset summary</x:v>
      </x:c>
      <x:c r="H431" s="33" t="str">
        <x:v>FSA-001</x:v>
      </x:c>
      <x:c r="I431" s="50" t="str"/>
      <x:c r="J431" s="33" t="str">
        <x:v>INTERNAL_SAMPLE</x:v>
      </x:c>
      <x:c r="K431" s="33" t="str">
        <x:v>Member 6</x:v>
      </x:c>
    </x:row>
    <x:row r="432" ht="24" customHeight="1">
      <x:c r="A432" s="33" t="str">
        <x:v>ESCA_HSE_03_Assets_Training_Health_Sample_Data.xlsx</x:v>
      </x:c>
      <x:c r="B432" s="33" t="str">
        <x:v>Fixed_Safety_Assets</x:v>
      </x:c>
      <x:c r="C432" s="33" t="str">
        <x:v>asset_type</x:v>
      </x:c>
      <x:c r="D432" s="33" t="str">
        <x:v>enum</x:v>
      </x:c>
      <x:c r="E432" s="34" t="b">
        <x:v>1</x:v>
      </x:c>
      <x:c r="F432" s="33" t="str"/>
      <x:c r="G432" s="50" t="str">
        <x:v>Asset type</x:v>
      </x:c>
      <x:c r="H432" s="33" t="str">
        <x:v>EMERGENCY_SHOWER_EYEWASH</x:v>
      </x:c>
      <x:c r="I432" s="50" t="str"/>
      <x:c r="J432" s="33" t="str">
        <x:v>INTERNAL_SAMPLE</x:v>
      </x:c>
      <x:c r="K432" s="33" t="str">
        <x:v>Member 6</x:v>
      </x:c>
    </x:row>
    <x:row r="433" ht="24" customHeight="1">
      <x:c r="A433" s="33" t="str">
        <x:v>ESCA_HSE_03_Assets_Training_Health_Sample_Data.xlsx</x:v>
      </x:c>
      <x:c r="B433" s="33" t="str">
        <x:v>Fixed_Safety_Assets</x:v>
      </x:c>
      <x:c r="C433" s="33" t="str">
        <x:v>asset_name</x:v>
      </x:c>
      <x:c r="D433" s="33" t="str">
        <x:v>text</x:v>
      </x:c>
      <x:c r="E433" s="34" t="b">
        <x:v>1</x:v>
      </x:c>
      <x:c r="F433" s="33" t="str"/>
      <x:c r="G433" s="50" t="str">
        <x:v>Asset display name</x:v>
      </x:c>
      <x:c r="H433" s="33" t="str">
        <x:v>Emergency Shower and Eyewash</x:v>
      </x:c>
      <x:c r="I433" s="50" t="str"/>
      <x:c r="J433" s="33" t="str">
        <x:v>INTERNAL_SAMPLE</x:v>
      </x:c>
      <x:c r="K433" s="33" t="str">
        <x:v>Member 6</x:v>
      </x:c>
    </x:row>
    <x:row r="434" ht="24" customHeight="1">
      <x:c r="A434" s="33" t="str">
        <x:v>ESCA_HSE_03_Assets_Training_Health_Sample_Data.xlsx</x:v>
      </x:c>
      <x:c r="B434" s="33" t="str">
        <x:v>Fixed_Safety_Assets</x:v>
      </x:c>
      <x:c r="C434" s="33" t="str">
        <x:v>total_qty</x:v>
      </x:c>
      <x:c r="D434" s="33" t="str">
        <x:v>integer</x:v>
      </x:c>
      <x:c r="E434" s="34" t="b">
        <x:v>1</x:v>
      </x:c>
      <x:c r="F434" s="33" t="str"/>
      <x:c r="G434" s="50" t="str">
        <x:v>Total installed quantity</x:v>
      </x:c>
      <x:c r="H434" s="33" t="str">
        <x:v>14</x:v>
      </x:c>
      <x:c r="I434" s="50" t="str"/>
      <x:c r="J434" s="33" t="str">
        <x:v>INTERNAL_SAMPLE</x:v>
      </x:c>
      <x:c r="K434" s="33" t="str">
        <x:v>Member 6</x:v>
      </x:c>
    </x:row>
    <x:row r="435" ht="24" customHeight="1">
      <x:c r="A435" s="33" t="str">
        <x:v>ESCA_HSE_03_Assets_Training_Health_Sample_Data.xlsx</x:v>
      </x:c>
      <x:c r="B435" s="33" t="str">
        <x:v>Fixed_Safety_Assets</x:v>
      </x:c>
      <x:c r="C435" s="33" t="str">
        <x:v>operational_qty</x:v>
      </x:c>
      <x:c r="D435" s="33" t="str">
        <x:v>integer</x:v>
      </x:c>
      <x:c r="E435" s="34" t="b">
        <x:v>1</x:v>
      </x:c>
      <x:c r="F435" s="33" t="str"/>
      <x:c r="G435" s="50" t="str">
        <x:v>Operational quantity</x:v>
      </x:c>
      <x:c r="H435" s="33" t="str">
        <x:v>13</x:v>
      </x:c>
      <x:c r="I435" s="50" t="str"/>
      <x:c r="J435" s="33" t="str">
        <x:v>INTERNAL_SAMPLE</x:v>
      </x:c>
      <x:c r="K435" s="33" t="str">
        <x:v>Member 6</x:v>
      </x:c>
    </x:row>
    <x:row r="436" ht="24" customHeight="1">
      <x:c r="A436" s="33" t="str">
        <x:v>ESCA_HSE_03_Assets_Training_Health_Sample_Data.xlsx</x:v>
      </x:c>
      <x:c r="B436" s="33" t="str">
        <x:v>Fixed_Safety_Assets</x:v>
      </x:c>
      <x:c r="C436" s="33" t="str">
        <x:v>last_test_date</x:v>
      </x:c>
      <x:c r="D436" s="33" t="str">
        <x:v>date</x:v>
      </x:c>
      <x:c r="E436" s="34" t="b">
        <x:v>1</x:v>
      </x:c>
      <x:c r="F436" s="33" t="str"/>
      <x:c r="G436" s="50" t="str">
        <x:v>Last test date</x:v>
      </x:c>
      <x:c r="H436" s="33" t="n">
        <x:v>46223</x:v>
      </x:c>
      <x:c r="I436" s="50" t="str"/>
      <x:c r="J436" s="33" t="str">
        <x:v>INTERNAL_SAMPLE</x:v>
      </x:c>
      <x:c r="K436" s="33" t="str">
        <x:v>Member 6</x:v>
      </x:c>
    </x:row>
    <x:row r="437" ht="24" customHeight="1">
      <x:c r="A437" s="33" t="str">
        <x:v>ESCA_HSE_03_Assets_Training_Health_Sample_Data.xlsx</x:v>
      </x:c>
      <x:c r="B437" s="33" t="str">
        <x:v>Fixed_Safety_Assets</x:v>
      </x:c>
      <x:c r="C437" s="33" t="str">
        <x:v>next_test_date</x:v>
      </x:c>
      <x:c r="D437" s="33" t="str">
        <x:v>date</x:v>
      </x:c>
      <x:c r="E437" s="34" t="b">
        <x:v>1</x:v>
      </x:c>
      <x:c r="F437" s="33" t="str"/>
      <x:c r="G437" s="50" t="str">
        <x:v>Next test date</x:v>
      </x:c>
      <x:c r="H437" s="33" t="n">
        <x:v>46254</x:v>
      </x:c>
      <x:c r="I437" s="50" t="str"/>
      <x:c r="J437" s="33" t="str">
        <x:v>INTERNAL_SAMPLE</x:v>
      </x:c>
      <x:c r="K437" s="33" t="str">
        <x:v>Member 6</x:v>
      </x:c>
    </x:row>
    <x:row r="438" ht="24" customHeight="1">
      <x:c r="A438" s="33" t="str">
        <x:v>ESCA_HSE_03_Assets_Training_Health_Sample_Data.xlsx</x:v>
      </x:c>
      <x:c r="B438" s="33" t="str">
        <x:v>Fixed_Safety_Assets</x:v>
      </x:c>
      <x:c r="C438" s="33" t="str">
        <x:v>status</x:v>
      </x:c>
      <x:c r="D438" s="33" t="str">
        <x:v>enum</x:v>
      </x:c>
      <x:c r="E438" s="34" t="b">
        <x:v>1</x:v>
      </x:c>
      <x:c r="F438" s="33" t="str"/>
      <x:c r="G438" s="50" t="str">
        <x:v>Readiness state</x:v>
      </x:c>
      <x:c r="H438" s="33" t="str">
        <x:v>PARTIAL</x:v>
      </x:c>
      <x:c r="I438" s="50" t="str">
        <x:v>OPERATIONAL | PARTIAL | OUT_OF_SERVICE</x:v>
      </x:c>
      <x:c r="J438" s="33" t="str">
        <x:v>INTERNAL_SAMPLE</x:v>
      </x:c>
      <x:c r="K438" s="33" t="str">
        <x:v>Member 6</x:v>
      </x:c>
    </x:row>
    <x:row r="439" ht="24" customHeight="1">
      <x:c r="A439" s="33" t="str">
        <x:v>ESCA_HSE_03_Assets_Training_Health_Sample_Data.xlsx</x:v>
      </x:c>
      <x:c r="B439" s="33" t="str">
        <x:v>Fixed_Safety_Assets</x:v>
      </x:c>
      <x:c r="C439" s="33" t="str">
        <x:v>notes</x:v>
      </x:c>
      <x:c r="D439" s="33" t="str">
        <x:v>long_text</x:v>
      </x:c>
      <x:c r="E439" s="34" t="b">
        <x:v>1</x:v>
      </x:c>
      <x:c r="F439" s="33" t="str"/>
      <x:c r="G439" s="50" t="str">
        <x:v>Readiness notes</x:v>
      </x:c>
      <x:c r="H439" s="33" t="str">
        <x:v>One unit out of service</x:v>
      </x:c>
      <x:c r="I439" s="50" t="str"/>
      <x:c r="J439" s="33" t="str">
        <x:v>INTERNAL_SAMPLE</x:v>
      </x:c>
      <x:c r="K439" s="33" t="str">
        <x:v>Member 6</x:v>
      </x:c>
    </x:row>
    <x:row r="440" ht="24" customHeight="1">
      <x:c r="A440" s="33" t="str">
        <x:v>ESCA_HSE_04_AI_IoT_Integrations_Audit_Sample_Data.xlsx</x:v>
      </x:c>
      <x:c r="B440" s="33" t="str">
        <x:v>IoT_Sensors</x:v>
      </x:c>
      <x:c r="C440" s="33" t="str">
        <x:v>sensor_id</x:v>
      </x:c>
      <x:c r="D440" s="33" t="str">
        <x:v>id</x:v>
      </x:c>
      <x:c r="E440" s="34" t="b">
        <x:v>1</x:v>
      </x:c>
      <x:c r="F440" s="33" t="str">
        <x:v>PK</x:v>
      </x:c>
      <x:c r="G440" s="50" t="str">
        <x:v>Sensor identifier</x:v>
      </x:c>
      <x:c r="H440" s="33" t="str">
        <x:v>SNS-VOC-01</x:v>
      </x:c>
      <x:c r="I440" s="50" t="str"/>
      <x:c r="J440" s="33" t="str">
        <x:v>INTERNAL_SAMPLE</x:v>
      </x:c>
      <x:c r="K440" s="33" t="str">
        <x:v>Member 5</x:v>
      </x:c>
    </x:row>
    <x:row r="441" ht="24" customHeight="1">
      <x:c r="A441" s="33" t="str">
        <x:v>ESCA_HSE_04_AI_IoT_Integrations_Audit_Sample_Data.xlsx</x:v>
      </x:c>
      <x:c r="B441" s="33" t="str">
        <x:v>IoT_Sensors</x:v>
      </x:c>
      <x:c r="C441" s="33" t="str">
        <x:v>sensor_type</x:v>
      </x:c>
      <x:c r="D441" s="33" t="str">
        <x:v>enum</x:v>
      </x:c>
      <x:c r="E441" s="34" t="b">
        <x:v>1</x:v>
      </x:c>
      <x:c r="F441" s="33" t="str"/>
      <x:c r="G441" s="50" t="str">
        <x:v>Measured phenomenon</x:v>
      </x:c>
      <x:c r="H441" s="33" t="str">
        <x:v>VOC</x:v>
      </x:c>
      <x:c r="I441" s="50" t="str"/>
      <x:c r="J441" s="33" t="str">
        <x:v>INTERNAL_SAMPLE</x:v>
      </x:c>
      <x:c r="K441" s="33" t="str">
        <x:v>Member 5</x:v>
      </x:c>
    </x:row>
    <x:row r="442" ht="24" customHeight="1">
      <x:c r="A442" s="33" t="str">
        <x:v>ESCA_HSE_04_AI_IoT_Integrations_Audit_Sample_Data.xlsx</x:v>
      </x:c>
      <x:c r="B442" s="33" t="str">
        <x:v>IoT_Sensors</x:v>
      </x:c>
      <x:c r="C442" s="33" t="str">
        <x:v>department_id</x:v>
      </x:c>
      <x:c r="D442" s="33" t="str">
        <x:v>id</x:v>
      </x:c>
      <x:c r="E442" s="34" t="b">
        <x:v>1</x:v>
      </x:c>
      <x:c r="F442" s="33" t="str">
        <x:v>FK -&gt; Departments.department_id</x:v>
      </x:c>
      <x:c r="G442" s="50" t="str">
        <x:v>Department</x:v>
      </x:c>
      <x:c r="H442" s="33" t="str">
        <x:v>DEP-MAINT</x:v>
      </x:c>
      <x:c r="I442" s="50" t="str"/>
      <x:c r="J442" s="33" t="str">
        <x:v>INTERNAL_SAMPLE</x:v>
      </x:c>
      <x:c r="K442" s="33" t="str">
        <x:v>Member 5</x:v>
      </x:c>
    </x:row>
    <x:row r="443" ht="24" customHeight="1">
      <x:c r="A443" s="33" t="str">
        <x:v>ESCA_HSE_04_AI_IoT_Integrations_Audit_Sample_Data.xlsx</x:v>
      </x:c>
      <x:c r="B443" s="33" t="str">
        <x:v>IoT_Sensors</x:v>
      </x:c>
      <x:c r="C443" s="33" t="str">
        <x:v>zone_id</x:v>
      </x:c>
      <x:c r="D443" s="33" t="str">
        <x:v>id</x:v>
      </x:c>
      <x:c r="E443" s="34" t="b">
        <x:v>1</x:v>
      </x:c>
      <x:c r="F443" s="33" t="str">
        <x:v>FK -&gt; Zones.zone_id</x:v>
      </x:c>
      <x:c r="G443" s="50" t="str">
        <x:v>Zone</x:v>
      </x:c>
      <x:c r="H443" s="33" t="str">
        <x:v>ZN-M01</x:v>
      </x:c>
      <x:c r="I443" s="50" t="str"/>
      <x:c r="J443" s="33" t="str">
        <x:v>INTERNAL_SAMPLE</x:v>
      </x:c>
      <x:c r="K443" s="33" t="str">
        <x:v>Member 5</x:v>
      </x:c>
    </x:row>
    <x:row r="444" ht="24" customHeight="1">
      <x:c r="A444" s="33" t="str">
        <x:v>ESCA_HSE_04_AI_IoT_Integrations_Audit_Sample_Data.xlsx</x:v>
      </x:c>
      <x:c r="B444" s="33" t="str">
        <x:v>IoT_Sensors</x:v>
      </x:c>
      <x:c r="C444" s="33" t="str">
        <x:v>unit</x:v>
      </x:c>
      <x:c r="D444" s="33" t="str">
        <x:v>text</x:v>
      </x:c>
      <x:c r="E444" s="34" t="b">
        <x:v>1</x:v>
      </x:c>
      <x:c r="F444" s="33" t="str"/>
      <x:c r="G444" s="50" t="str">
        <x:v>Measurement unit</x:v>
      </x:c>
      <x:c r="H444" s="33" t="str">
        <x:v>ppm</x:v>
      </x:c>
      <x:c r="I444" s="50" t="str"/>
      <x:c r="J444" s="33" t="str">
        <x:v>INTERNAL_SAMPLE</x:v>
      </x:c>
      <x:c r="K444" s="33" t="str">
        <x:v>Member 5</x:v>
      </x:c>
    </x:row>
    <x:row r="445" ht="24" customHeight="1">
      <x:c r="A445" s="33" t="str">
        <x:v>ESCA_HSE_04_AI_IoT_Integrations_Audit_Sample_Data.xlsx</x:v>
      </x:c>
      <x:c r="B445" s="33" t="str">
        <x:v>IoT_Sensors</x:v>
      </x:c>
      <x:c r="C445" s="33" t="str">
        <x:v>safe_min</x:v>
      </x:c>
      <x:c r="D445" s="33" t="str">
        <x:v>decimal</x:v>
      </x:c>
      <x:c r="E445" s="34" t="b">
        <x:v>1</x:v>
      </x:c>
      <x:c r="F445" s="33" t="str"/>
      <x:c r="G445" s="50" t="str">
        <x:v>Safe lower bound</x:v>
      </x:c>
      <x:c r="H445" s="33" t="str">
        <x:v>0</x:v>
      </x:c>
      <x:c r="I445" s="50" t="str"/>
      <x:c r="J445" s="33" t="str">
        <x:v>INTERNAL_SAMPLE</x:v>
      </x:c>
      <x:c r="K445" s="33" t="str">
        <x:v>Member 5</x:v>
      </x:c>
    </x:row>
    <x:row r="446" ht="24" customHeight="1">
      <x:c r="A446" s="33" t="str">
        <x:v>ESCA_HSE_04_AI_IoT_Integrations_Audit_Sample_Data.xlsx</x:v>
      </x:c>
      <x:c r="B446" s="33" t="str">
        <x:v>IoT_Sensors</x:v>
      </x:c>
      <x:c r="C446" s="33" t="str">
        <x:v>safe_max</x:v>
      </x:c>
      <x:c r="D446" s="33" t="str">
        <x:v>decimal</x:v>
      </x:c>
      <x:c r="E446" s="34" t="b">
        <x:v>1</x:v>
      </x:c>
      <x:c r="F446" s="33" t="str"/>
      <x:c r="G446" s="50" t="str">
        <x:v>Safe upper bound</x:v>
      </x:c>
      <x:c r="H446" s="33" t="str">
        <x:v>50</x:v>
      </x:c>
      <x:c r="I446" s="50" t="str"/>
      <x:c r="J446" s="33" t="str">
        <x:v>INTERNAL_SAMPLE</x:v>
      </x:c>
      <x:c r="K446" s="33" t="str">
        <x:v>Member 5</x:v>
      </x:c>
    </x:row>
    <x:row r="447" ht="24" customHeight="1">
      <x:c r="A447" s="33" t="str">
        <x:v>ESCA_HSE_04_AI_IoT_Integrations_Audit_Sample_Data.xlsx</x:v>
      </x:c>
      <x:c r="B447" s="33" t="str">
        <x:v>IoT_Sensors</x:v>
      </x:c>
      <x:c r="C447" s="33" t="str">
        <x:v>warning_min</x:v>
      </x:c>
      <x:c r="D447" s="33" t="str">
        <x:v>decimal</x:v>
      </x:c>
      <x:c r="E447" s="34" t="b">
        <x:v>1</x:v>
      </x:c>
      <x:c r="F447" s="33" t="str"/>
      <x:c r="G447" s="50" t="str">
        <x:v>Critical lower bound</x:v>
      </x:c>
      <x:c r="H447" s="33" t="str">
        <x:v>0</x:v>
      </x:c>
      <x:c r="I447" s="50" t="str"/>
      <x:c r="J447" s="33" t="str">
        <x:v>INTERNAL_SAMPLE</x:v>
      </x:c>
      <x:c r="K447" s="33" t="str">
        <x:v>Member 5</x:v>
      </x:c>
    </x:row>
    <x:row r="448" ht="24" customHeight="1">
      <x:c r="A448" s="33" t="str">
        <x:v>ESCA_HSE_04_AI_IoT_Integrations_Audit_Sample_Data.xlsx</x:v>
      </x:c>
      <x:c r="B448" s="33" t="str">
        <x:v>IoT_Sensors</x:v>
      </x:c>
      <x:c r="C448" s="33" t="str">
        <x:v>warning_max</x:v>
      </x:c>
      <x:c r="D448" s="33" t="str">
        <x:v>decimal</x:v>
      </x:c>
      <x:c r="E448" s="34" t="b">
        <x:v>1</x:v>
      </x:c>
      <x:c r="F448" s="33" t="str"/>
      <x:c r="G448" s="50" t="str">
        <x:v>Critical upper bound</x:v>
      </x:c>
      <x:c r="H448" s="33" t="str">
        <x:v>100</x:v>
      </x:c>
      <x:c r="I448" s="50" t="str"/>
      <x:c r="J448" s="33" t="str">
        <x:v>INTERNAL_SAMPLE</x:v>
      </x:c>
      <x:c r="K448" s="33" t="str">
        <x:v>Member 5</x:v>
      </x:c>
    </x:row>
    <x:row r="449" ht="24" customHeight="1">
      <x:c r="A449" s="33" t="str">
        <x:v>ESCA_HSE_04_AI_IoT_Integrations_Audit_Sample_Data.xlsx</x:v>
      </x:c>
      <x:c r="B449" s="33" t="str">
        <x:v>IoT_Sensors</x:v>
      </x:c>
      <x:c r="C449" s="33" t="str">
        <x:v>status</x:v>
      </x:c>
      <x:c r="D449" s="33" t="str">
        <x:v>enum</x:v>
      </x:c>
      <x:c r="E449" s="34" t="b">
        <x:v>1</x:v>
      </x:c>
      <x:c r="F449" s="33" t="str"/>
      <x:c r="G449" s="50" t="str">
        <x:v>Sensor state</x:v>
      </x:c>
      <x:c r="H449" s="33" t="str">
        <x:v>ACTIVE</x:v>
      </x:c>
      <x:c r="I449" s="50" t="str">
        <x:v>ACTIVE | MAINTENANCE | OFFLINE</x:v>
      </x:c>
      <x:c r="J449" s="33" t="str">
        <x:v>INTERNAL_SAMPLE</x:v>
      </x:c>
      <x:c r="K449" s="33" t="str">
        <x:v>Member 5</x:v>
      </x:c>
    </x:row>
    <x:row r="450" ht="24" customHeight="1">
      <x:c r="A450" s="33" t="str">
        <x:v>ESCA_HSE_04_AI_IoT_Integrations_Audit_Sample_Data.xlsx</x:v>
      </x:c>
      <x:c r="B450" s="33" t="str">
        <x:v>IoT_Sensors</x:v>
      </x:c>
      <x:c r="C450" s="33" t="str">
        <x:v>last_calibrated_at</x:v>
      </x:c>
      <x:c r="D450" s="33" t="str">
        <x:v>date</x:v>
      </x:c>
      <x:c r="E450" s="34" t="b">
        <x:v>1</x:v>
      </x:c>
      <x:c r="F450" s="33" t="str"/>
      <x:c r="G450" s="50" t="str">
        <x:v>Calibration date</x:v>
      </x:c>
      <x:c r="H450" s="33" t="n">
        <x:v>46204</x:v>
      </x:c>
      <x:c r="I450" s="50" t="str"/>
      <x:c r="J450" s="33" t="str">
        <x:v>INTERNAL_SAMPLE</x:v>
      </x:c>
      <x:c r="K450" s="33" t="str">
        <x:v>Member 5</x:v>
      </x:c>
    </x:row>
    <x:row r="451" ht="24" customHeight="1">
      <x:c r="A451" s="33" t="str">
        <x:v>ESCA_HSE_04_AI_IoT_Integrations_Audit_Sample_Data.xlsx</x:v>
      </x:c>
      <x:c r="B451" s="33" t="str">
        <x:v>IoT_Sensors</x:v>
      </x:c>
      <x:c r="C451" s="33" t="str">
        <x:v>next_calibration_at</x:v>
      </x:c>
      <x:c r="D451" s="33" t="str">
        <x:v>date</x:v>
      </x:c>
      <x:c r="E451" s="34" t="b">
        <x:v>1</x:v>
      </x:c>
      <x:c r="F451" s="33" t="str"/>
      <x:c r="G451" s="50" t="str">
        <x:v>Next calibration</x:v>
      </x:c>
      <x:c r="H451" s="33" t="n">
        <x:v>46388</x:v>
      </x:c>
      <x:c r="I451" s="50" t="str"/>
      <x:c r="J451" s="33" t="str">
        <x:v>INTERNAL_SAMPLE</x:v>
      </x:c>
      <x:c r="K451" s="33" t="str">
        <x:v>Member 5</x:v>
      </x:c>
    </x:row>
    <x:row r="452" ht="24" customHeight="1">
      <x:c r="A452" s="33" t="str">
        <x:v>ESCA_HSE_04_AI_IoT_Integrations_Audit_Sample_Data.xlsx</x:v>
      </x:c>
      <x:c r="B452" s="33" t="str">
        <x:v>Sensor_Readings</x:v>
      </x:c>
      <x:c r="C452" s="33" t="str">
        <x:v>reading_id</x:v>
      </x:c>
      <x:c r="D452" s="33" t="str">
        <x:v>id</x:v>
      </x:c>
      <x:c r="E452" s="34" t="b">
        <x:v>1</x:v>
      </x:c>
      <x:c r="F452" s="33" t="str">
        <x:v>PK</x:v>
      </x:c>
      <x:c r="G452" s="50" t="str">
        <x:v>Reading identifier</x:v>
      </x:c>
      <x:c r="H452" s="33" t="str">
        <x:v>RDG-0001</x:v>
      </x:c>
      <x:c r="I452" s="50" t="str"/>
      <x:c r="J452" s="33" t="str">
        <x:v>INTERNAL_SAMPLE</x:v>
      </x:c>
      <x:c r="K452" s="33" t="str">
        <x:v>Member 5</x:v>
      </x:c>
    </x:row>
    <x:row r="453" ht="24" customHeight="1">
      <x:c r="A453" s="33" t="str">
        <x:v>ESCA_HSE_04_AI_IoT_Integrations_Audit_Sample_Data.xlsx</x:v>
      </x:c>
      <x:c r="B453" s="33" t="str">
        <x:v>Sensor_Readings</x:v>
      </x:c>
      <x:c r="C453" s="33" t="str">
        <x:v>sensor_id</x:v>
      </x:c>
      <x:c r="D453" s="33" t="str">
        <x:v>id</x:v>
      </x:c>
      <x:c r="E453" s="34" t="b">
        <x:v>1</x:v>
      </x:c>
      <x:c r="F453" s="33" t="str">
        <x:v>FK -&gt; IoT_Sensors.sensor_id</x:v>
      </x:c>
      <x:c r="G453" s="50" t="str">
        <x:v>Sensor</x:v>
      </x:c>
      <x:c r="H453" s="33" t="str">
        <x:v>SNS-VOC-01</x:v>
      </x:c>
      <x:c r="I453" s="50" t="str"/>
      <x:c r="J453" s="33" t="str">
        <x:v>INTERNAL_SAMPLE</x:v>
      </x:c>
      <x:c r="K453" s="33" t="str">
        <x:v>Member 5</x:v>
      </x:c>
    </x:row>
    <x:row r="454" ht="24" customHeight="1">
      <x:c r="A454" s="33" t="str">
        <x:v>ESCA_HSE_04_AI_IoT_Integrations_Audit_Sample_Data.xlsx</x:v>
      </x:c>
      <x:c r="B454" s="33" t="str">
        <x:v>Sensor_Readings</x:v>
      </x:c>
      <x:c r="C454" s="33" t="str">
        <x:v>captured_at</x:v>
      </x:c>
      <x:c r="D454" s="33" t="str">
        <x:v>datetime</x:v>
      </x:c>
      <x:c r="E454" s="34" t="b">
        <x:v>1</x:v>
      </x:c>
      <x:c r="F454" s="33" t="str"/>
      <x:c r="G454" s="50" t="str">
        <x:v>Capture time</x:v>
      </x:c>
      <x:c r="H454" s="33" t="n">
        <x:v>46247.21805555555</x:v>
      </x:c>
      <x:c r="I454" s="50" t="str"/>
      <x:c r="J454" s="33" t="str">
        <x:v>INTERNAL_SAMPLE</x:v>
      </x:c>
      <x:c r="K454" s="33" t="str">
        <x:v>Member 5</x:v>
      </x:c>
    </x:row>
    <x:row r="455" ht="24" customHeight="1">
      <x:c r="A455" s="33" t="str">
        <x:v>ESCA_HSE_04_AI_IoT_Integrations_Audit_Sample_Data.xlsx</x:v>
      </x:c>
      <x:c r="B455" s="33" t="str">
        <x:v>Sensor_Readings</x:v>
      </x:c>
      <x:c r="C455" s="33" t="str">
        <x:v>value</x:v>
      </x:c>
      <x:c r="D455" s="33" t="str">
        <x:v>decimal</x:v>
      </x:c>
      <x:c r="E455" s="34" t="b">
        <x:v>1</x:v>
      </x:c>
      <x:c r="F455" s="33" t="str"/>
      <x:c r="G455" s="50" t="str">
        <x:v>Measured value</x:v>
      </x:c>
      <x:c r="H455" s="33" t="str">
        <x:v>42</x:v>
      </x:c>
      <x:c r="I455" s="50" t="str"/>
      <x:c r="J455" s="33" t="str">
        <x:v>INTERNAL_SAMPLE</x:v>
      </x:c>
      <x:c r="K455" s="33" t="str">
        <x:v>Member 5</x:v>
      </x:c>
    </x:row>
    <x:row r="456" ht="24" customHeight="1">
      <x:c r="A456" s="33" t="str">
        <x:v>ESCA_HSE_04_AI_IoT_Integrations_Audit_Sample_Data.xlsx</x:v>
      </x:c>
      <x:c r="B456" s="33" t="str">
        <x:v>Sensor_Readings</x:v>
      </x:c>
      <x:c r="C456" s="33" t="str">
        <x:v>unit</x:v>
      </x:c>
      <x:c r="D456" s="33" t="str">
        <x:v>text</x:v>
      </x:c>
      <x:c r="E456" s="34" t="b">
        <x:v>1</x:v>
      </x:c>
      <x:c r="F456" s="33" t="str"/>
      <x:c r="G456" s="50" t="str">
        <x:v>Unit</x:v>
      </x:c>
      <x:c r="H456" s="33" t="str">
        <x:v>ppm</x:v>
      </x:c>
      <x:c r="I456" s="50" t="str"/>
      <x:c r="J456" s="33" t="str">
        <x:v>INTERNAL_SAMPLE</x:v>
      </x:c>
      <x:c r="K456" s="33" t="str">
        <x:v>Member 5</x:v>
      </x:c>
    </x:row>
    <x:row r="457" ht="24" customHeight="1">
      <x:c r="A457" s="33" t="str">
        <x:v>ESCA_HSE_04_AI_IoT_Integrations_Audit_Sample_Data.xlsx</x:v>
      </x:c>
      <x:c r="B457" s="33" t="str">
        <x:v>Sensor_Readings</x:v>
      </x:c>
      <x:c r="C457" s="33" t="str">
        <x:v>quality</x:v>
      </x:c>
      <x:c r="D457" s="33" t="str">
        <x:v>enum</x:v>
      </x:c>
      <x:c r="E457" s="34" t="b">
        <x:v>1</x:v>
      </x:c>
      <x:c r="F457" s="33" t="str"/>
      <x:c r="G457" s="50" t="str">
        <x:v>Data quality</x:v>
      </x:c>
      <x:c r="H457" s="33" t="str">
        <x:v>GOOD</x:v>
      </x:c>
      <x:c r="I457" s="50" t="str">
        <x:v>GOOD | SUSPECT | BAD</x:v>
      </x:c>
      <x:c r="J457" s="33" t="str">
        <x:v>INTERNAL_SAMPLE</x:v>
      </x:c>
      <x:c r="K457" s="33" t="str">
        <x:v>Member 5</x:v>
      </x:c>
    </x:row>
    <x:row r="458" ht="24" customHeight="1">
      <x:c r="A458" s="33" t="str">
        <x:v>ESCA_HSE_04_AI_IoT_Integrations_Audit_Sample_Data.xlsx</x:v>
      </x:c>
      <x:c r="B458" s="33" t="str">
        <x:v>Sensor_Readings</x:v>
      </x:c>
      <x:c r="C458" s="33" t="str">
        <x:v>safe_min</x:v>
      </x:c>
      <x:c r="D458" s="33" t="str">
        <x:v>decimal</x:v>
      </x:c>
      <x:c r="E458" s="34" t="b">
        <x:v>1</x:v>
      </x:c>
      <x:c r="F458" s="33" t="str"/>
      <x:c r="G458" s="50" t="str">
        <x:v>Copied safe lower bound for auditable sample</x:v>
      </x:c>
      <x:c r="H458" s="33" t="str">
        <x:v>0</x:v>
      </x:c>
      <x:c r="I458" s="50" t="str"/>
      <x:c r="J458" s="33" t="str">
        <x:v>INTERNAL_SAMPLE</x:v>
      </x:c>
      <x:c r="K458" s="33" t="str">
        <x:v>Member 5</x:v>
      </x:c>
    </x:row>
    <x:row r="459" ht="24" customHeight="1">
      <x:c r="A459" s="33" t="str">
        <x:v>ESCA_HSE_04_AI_IoT_Integrations_Audit_Sample_Data.xlsx</x:v>
      </x:c>
      <x:c r="B459" s="33" t="str">
        <x:v>Sensor_Readings</x:v>
      </x:c>
      <x:c r="C459" s="33" t="str">
        <x:v>safe_max</x:v>
      </x:c>
      <x:c r="D459" s="33" t="str">
        <x:v>decimal</x:v>
      </x:c>
      <x:c r="E459" s="34" t="b">
        <x:v>1</x:v>
      </x:c>
      <x:c r="F459" s="33" t="str"/>
      <x:c r="G459" s="50" t="str">
        <x:v>Copied safe upper bound for auditable sample</x:v>
      </x:c>
      <x:c r="H459" s="33" t="str">
        <x:v>50</x:v>
      </x:c>
      <x:c r="I459" s="50" t="str"/>
      <x:c r="J459" s="33" t="str">
        <x:v>INTERNAL_SAMPLE</x:v>
      </x:c>
      <x:c r="K459" s="33" t="str">
        <x:v>Member 5</x:v>
      </x:c>
    </x:row>
    <x:row r="460" ht="24" customHeight="1">
      <x:c r="A460" s="33" t="str">
        <x:v>ESCA_HSE_04_AI_IoT_Integrations_Audit_Sample_Data.xlsx</x:v>
      </x:c>
      <x:c r="B460" s="33" t="str">
        <x:v>Sensor_Readings</x:v>
      </x:c>
      <x:c r="C460" s="33" t="str">
        <x:v>warning_min</x:v>
      </x:c>
      <x:c r="D460" s="33" t="str">
        <x:v>decimal</x:v>
      </x:c>
      <x:c r="E460" s="34" t="b">
        <x:v>1</x:v>
      </x:c>
      <x:c r="F460" s="33" t="str"/>
      <x:c r="G460" s="50" t="str">
        <x:v>Copied critical lower bound</x:v>
      </x:c>
      <x:c r="H460" s="33" t="str">
        <x:v>0</x:v>
      </x:c>
      <x:c r="I460" s="50" t="str"/>
      <x:c r="J460" s="33" t="str">
        <x:v>INTERNAL_SAMPLE</x:v>
      </x:c>
      <x:c r="K460" s="33" t="str">
        <x:v>Member 5</x:v>
      </x:c>
    </x:row>
    <x:row r="461" ht="24" customHeight="1">
      <x:c r="A461" s="33" t="str">
        <x:v>ESCA_HSE_04_AI_IoT_Integrations_Audit_Sample_Data.xlsx</x:v>
      </x:c>
      <x:c r="B461" s="33" t="str">
        <x:v>Sensor_Readings</x:v>
      </x:c>
      <x:c r="C461" s="33" t="str">
        <x:v>warning_max</x:v>
      </x:c>
      <x:c r="D461" s="33" t="str">
        <x:v>decimal</x:v>
      </x:c>
      <x:c r="E461" s="34" t="b">
        <x:v>1</x:v>
      </x:c>
      <x:c r="F461" s="33" t="str"/>
      <x:c r="G461" s="50" t="str">
        <x:v>Copied critical upper bound</x:v>
      </x:c>
      <x:c r="H461" s="33" t="str">
        <x:v>100</x:v>
      </x:c>
      <x:c r="I461" s="50" t="str"/>
      <x:c r="J461" s="33" t="str">
        <x:v>INTERNAL_SAMPLE</x:v>
      </x:c>
      <x:c r="K461" s="33" t="str">
        <x:v>Member 5</x:v>
      </x:c>
    </x:row>
    <x:row r="462" ht="24" customHeight="1">
      <x:c r="A462" s="33" t="str">
        <x:v>ESCA_HSE_04_AI_IoT_Integrations_Audit_Sample_Data.xlsx</x:v>
      </x:c>
      <x:c r="B462" s="33" t="str">
        <x:v>Sensor_Readings</x:v>
      </x:c>
      <x:c r="C462" s="33" t="str">
        <x:v>alert_level</x:v>
      </x:c>
      <x:c r="D462" s="33" t="str">
        <x:v>formula</x:v>
      </x:c>
      <x:c r="E462" s="34" t="b">
        <x:v>1</x:v>
      </x:c>
      <x:c r="F462" s="33" t="str"/>
      <x:c r="G462" s="50" t="str">
        <x:v>Derived threshold alert</x:v>
      </x:c>
      <x:c r="H462" s="33" t="str">
        <x:v>Formula-derived</x:v>
      </x:c>
      <x:c r="I462" s="50" t="str"/>
      <x:c r="J462" s="33" t="str">
        <x:v>INTERNAL_SAMPLE</x:v>
      </x:c>
      <x:c r="K462" s="33" t="str">
        <x:v>Member 5</x:v>
      </x:c>
    </x:row>
    <x:row r="463" ht="24" customHeight="1">
      <x:c r="A463" s="33" t="str">
        <x:v>ESCA_HSE_04_AI_IoT_Integrations_Audit_Sample_Data.xlsx</x:v>
      </x:c>
      <x:c r="B463" s="33" t="str">
        <x:v>Cameras</x:v>
      </x:c>
      <x:c r="C463" s="33" t="str">
        <x:v>camera_id</x:v>
      </x:c>
      <x:c r="D463" s="33" t="str">
        <x:v>id</x:v>
      </x:c>
      <x:c r="E463" s="34" t="b">
        <x:v>1</x:v>
      </x:c>
      <x:c r="F463" s="33" t="str">
        <x:v>PK</x:v>
      </x:c>
      <x:c r="G463" s="50" t="str">
        <x:v>Camera identifier</x:v>
      </x:c>
      <x:c r="H463" s="33" t="str">
        <x:v>CAM-A-01</x:v>
      </x:c>
      <x:c r="I463" s="50" t="str"/>
      <x:c r="J463" s="33" t="str">
        <x:v>INTERNAL_SAMPLE</x:v>
      </x:c>
      <x:c r="K463" s="33" t="str">
        <x:v>Member 5</x:v>
      </x:c>
    </x:row>
    <x:row r="464" ht="24" customHeight="1">
      <x:c r="A464" s="33" t="str">
        <x:v>ESCA_HSE_04_AI_IoT_Integrations_Audit_Sample_Data.xlsx</x:v>
      </x:c>
      <x:c r="B464" s="33" t="str">
        <x:v>Cameras</x:v>
      </x:c>
      <x:c r="C464" s="33" t="str">
        <x:v>zone_id</x:v>
      </x:c>
      <x:c r="D464" s="33" t="str">
        <x:v>id</x:v>
      </x:c>
      <x:c r="E464" s="34" t="b">
        <x:v>1</x:v>
      </x:c>
      <x:c r="F464" s="33" t="str">
        <x:v>FK -&gt; Zones.zone_id</x:v>
      </x:c>
      <x:c r="G464" s="50" t="str">
        <x:v>Observed zone</x:v>
      </x:c>
      <x:c r="H464" s="33" t="str">
        <x:v>ZN-A1</x:v>
      </x:c>
      <x:c r="I464" s="50" t="str"/>
      <x:c r="J464" s="33" t="str">
        <x:v>INTERNAL_SAMPLE</x:v>
      </x:c>
      <x:c r="K464" s="33" t="str">
        <x:v>Member 5</x:v>
      </x:c>
    </x:row>
    <x:row r="465" ht="24" customHeight="1">
      <x:c r="A465" s="33" t="str">
        <x:v>ESCA_HSE_04_AI_IoT_Integrations_Audit_Sample_Data.xlsx</x:v>
      </x:c>
      <x:c r="B465" s="33" t="str">
        <x:v>Cameras</x:v>
      </x:c>
      <x:c r="C465" s="33" t="str">
        <x:v>capabilities</x:v>
      </x:c>
      <x:c r="D465" s="33" t="str">
        <x:v>text</x:v>
      </x:c>
      <x:c r="E465" s="34" t="b">
        <x:v>1</x:v>
      </x:c>
      <x:c r="F465" s="33" t="str"/>
      <x:c r="G465" s="50" t="str">
        <x:v>Enabled detection models</x:v>
      </x:c>
      <x:c r="H465" s="33" t="str">
        <x:v>PPE;RESTRICTED_ZONE</x:v>
      </x:c>
      <x:c r="I465" s="50" t="str"/>
      <x:c r="J465" s="33" t="str">
        <x:v>INTERNAL_SAMPLE</x:v>
      </x:c>
      <x:c r="K465" s="33" t="str">
        <x:v>Member 5</x:v>
      </x:c>
    </x:row>
    <x:row r="466" ht="24" customHeight="1">
      <x:c r="A466" s="33" t="str">
        <x:v>ESCA_HSE_04_AI_IoT_Integrations_Audit_Sample_Data.xlsx</x:v>
      </x:c>
      <x:c r="B466" s="33" t="str">
        <x:v>Cameras</x:v>
      </x:c>
      <x:c r="C466" s="33" t="str">
        <x:v>model_version</x:v>
      </x:c>
      <x:c r="D466" s="33" t="str">
        <x:v>text</x:v>
      </x:c>
      <x:c r="E466" s="34" t="b">
        <x:v>1</x:v>
      </x:c>
      <x:c r="F466" s="33" t="str"/>
      <x:c r="G466" s="50" t="str">
        <x:v>Model version</x:v>
      </x:c>
      <x:c r="H466" s="33" t="str">
        <x:v>ppe-v3.4</x:v>
      </x:c>
      <x:c r="I466" s="50" t="str"/>
      <x:c r="J466" s="33" t="str">
        <x:v>INTERNAL_SAMPLE</x:v>
      </x:c>
      <x:c r="K466" s="33" t="str">
        <x:v>Member 5</x:v>
      </x:c>
    </x:row>
    <x:row r="467" ht="24" customHeight="1">
      <x:c r="A467" s="33" t="str">
        <x:v>ESCA_HSE_04_AI_IoT_Integrations_Audit_Sample_Data.xlsx</x:v>
      </x:c>
      <x:c r="B467" s="33" t="str">
        <x:v>Cameras</x:v>
      </x:c>
      <x:c r="C467" s="33" t="str">
        <x:v>processing_fps</x:v>
      </x:c>
      <x:c r="D467" s="33" t="str">
        <x:v>integer</x:v>
      </x:c>
      <x:c r="E467" s="34" t="b">
        <x:v>1</x:v>
      </x:c>
      <x:c r="F467" s="33" t="str"/>
      <x:c r="G467" s="50" t="str">
        <x:v>Synthetic processing rate</x:v>
      </x:c>
      <x:c r="H467" s="33" t="str">
        <x:v>24</x:v>
      </x:c>
      <x:c r="I467" s="50" t="str"/>
      <x:c r="J467" s="33" t="str">
        <x:v>INTERNAL_SAMPLE</x:v>
      </x:c>
      <x:c r="K467" s="33" t="str">
        <x:v>Member 5</x:v>
      </x:c>
    </x:row>
    <x:row r="468" ht="24" customHeight="1">
      <x:c r="A468" s="33" t="str">
        <x:v>ESCA_HSE_04_AI_IoT_Integrations_Audit_Sample_Data.xlsx</x:v>
      </x:c>
      <x:c r="B468" s="33" t="str">
        <x:v>Cameras</x:v>
      </x:c>
      <x:c r="C468" s="33" t="str">
        <x:v>status</x:v>
      </x:c>
      <x:c r="D468" s="33" t="str">
        <x:v>enum</x:v>
      </x:c>
      <x:c r="E468" s="34" t="b">
        <x:v>1</x:v>
      </x:c>
      <x:c r="F468" s="33" t="str"/>
      <x:c r="G468" s="50" t="str">
        <x:v>Camera status</x:v>
      </x:c>
      <x:c r="H468" s="33" t="str">
        <x:v>ACTIVE</x:v>
      </x:c>
      <x:c r="I468" s="50" t="str">
        <x:v>ACTIVE | OFFLINE | MAINTENANCE</x:v>
      </x:c>
      <x:c r="J468" s="33" t="str">
        <x:v>INTERNAL_SAMPLE</x:v>
      </x:c>
      <x:c r="K468" s="33" t="str">
        <x:v>Member 5</x:v>
      </x:c>
    </x:row>
    <x:row r="469" ht="24" customHeight="1">
      <x:c r="A469" s="33" t="str">
        <x:v>ESCA_HSE_04_AI_IoT_Integrations_Audit_Sample_Data.xlsx</x:v>
      </x:c>
      <x:c r="B469" s="33" t="str">
        <x:v>Cameras</x:v>
      </x:c>
      <x:c r="C469" s="33" t="str">
        <x:v>last_heartbeat_at</x:v>
      </x:c>
      <x:c r="D469" s="33" t="str">
        <x:v>datetime</x:v>
      </x:c>
      <x:c r="E469" s="34" t="b">
        <x:v>1</x:v>
      </x:c>
      <x:c r="F469" s="33" t="str"/>
      <x:c r="G469" s="50" t="str">
        <x:v>Last heartbeat</x:v>
      </x:c>
      <x:c r="H469" s="33" t="n">
        <x:v>46247.373611111114</x:v>
      </x:c>
      <x:c r="I469" s="50" t="str"/>
      <x:c r="J469" s="33" t="str">
        <x:v>INTERNAL_SAMPLE</x:v>
      </x:c>
      <x:c r="K469" s="33" t="str">
        <x:v>Member 5</x:v>
      </x:c>
    </x:row>
    <x:row r="470" ht="24" customHeight="1">
      <x:c r="A470" s="33" t="str">
        <x:v>ESCA_HSE_04_AI_IoT_Integrations_Audit_Sample_Data.xlsx</x:v>
      </x:c>
      <x:c r="B470" s="33" t="str">
        <x:v>Cameras</x:v>
      </x:c>
      <x:c r="C470" s="33" t="str">
        <x:v>stream_ref</x:v>
      </x:c>
      <x:c r="D470" s="33" t="str">
        <x:v>text</x:v>
      </x:c>
      <x:c r="E470" s="34" t="b">
        <x:v>1</x:v>
      </x:c>
      <x:c r="F470" s="33" t="str"/>
      <x:c r="G470" s="50" t="str">
        <x:v>Synthetic non-routable stream reference</x:v>
      </x:c>
      <x:c r="H470" s="33" t="str">
        <x:v>rtsp://demo.local/cam-a-01</x:v>
      </x:c>
      <x:c r="I470" s="50" t="str"/>
      <x:c r="J470" s="33" t="str">
        <x:v>INTERNAL_SAMPLE</x:v>
      </x:c>
      <x:c r="K470" s="33" t="str">
        <x:v>Member 5</x:v>
      </x:c>
    </x:row>
    <x:row r="471" ht="24" customHeight="1">
      <x:c r="A471" s="33" t="str">
        <x:v>ESCA_HSE_04_AI_IoT_Integrations_Audit_Sample_Data.xlsx</x:v>
      </x:c>
      <x:c r="B471" s="33" t="str">
        <x:v>AI_Models</x:v>
      </x:c>
      <x:c r="C471" s="33" t="str">
        <x:v>model_id</x:v>
      </x:c>
      <x:c r="D471" s="33" t="str">
        <x:v>id</x:v>
      </x:c>
      <x:c r="E471" s="34" t="b">
        <x:v>1</x:v>
      </x:c>
      <x:c r="F471" s="33" t="str">
        <x:v>PK</x:v>
      </x:c>
      <x:c r="G471" s="50" t="str">
        <x:v>AI model identifier</x:v>
      </x:c>
      <x:c r="H471" s="33" t="str">
        <x:v>MDL-PPE-HELMET</x:v>
      </x:c>
      <x:c r="I471" s="50" t="str"/>
      <x:c r="J471" s="33" t="str">
        <x:v>INTERNAL_SAMPLE</x:v>
      </x:c>
      <x:c r="K471" s="33" t="str">
        <x:v>Member 5</x:v>
      </x:c>
    </x:row>
    <x:row r="472" ht="24" customHeight="1">
      <x:c r="A472" s="33" t="str">
        <x:v>ESCA_HSE_04_AI_IoT_Integrations_Audit_Sample_Data.xlsx</x:v>
      </x:c>
      <x:c r="B472" s="33" t="str">
        <x:v>AI_Models</x:v>
      </x:c>
      <x:c r="C472" s="33" t="str">
        <x:v>model_name</x:v>
      </x:c>
      <x:c r="D472" s="33" t="str">
        <x:v>text</x:v>
      </x:c>
      <x:c r="E472" s="34" t="b">
        <x:v>1</x:v>
      </x:c>
      <x:c r="F472" s="33" t="str"/>
      <x:c r="G472" s="50" t="str">
        <x:v>Model display name</x:v>
      </x:c>
      <x:c r="H472" s="33" t="str">
        <x:v>Helmet Detector</x:v>
      </x:c>
      <x:c r="I472" s="50" t="str"/>
      <x:c r="J472" s="33" t="str">
        <x:v>INTERNAL_SAMPLE</x:v>
      </x:c>
      <x:c r="K472" s="33" t="str">
        <x:v>Member 5</x:v>
      </x:c>
    </x:row>
    <x:row r="473" ht="24" customHeight="1">
      <x:c r="A473" s="33" t="str">
        <x:v>ESCA_HSE_04_AI_IoT_Integrations_Audit_Sample_Data.xlsx</x:v>
      </x:c>
      <x:c r="B473" s="33" t="str">
        <x:v>AI_Models</x:v>
      </x:c>
      <x:c r="C473" s="33" t="str">
        <x:v>version</x:v>
      </x:c>
      <x:c r="D473" s="33" t="str">
        <x:v>text</x:v>
      </x:c>
      <x:c r="E473" s="34" t="b">
        <x:v>1</x:v>
      </x:c>
      <x:c r="F473" s="33" t="str"/>
      <x:c r="G473" s="50" t="str">
        <x:v>Model version</x:v>
      </x:c>
      <x:c r="H473" s="33" t="str">
        <x:v>3.4.0</x:v>
      </x:c>
      <x:c r="I473" s="50" t="str"/>
      <x:c r="J473" s="33" t="str">
        <x:v>INTERNAL_SAMPLE</x:v>
      </x:c>
      <x:c r="K473" s="33" t="str">
        <x:v>Member 5</x:v>
      </x:c>
    </x:row>
    <x:row r="474" ht="24" customHeight="1">
      <x:c r="A474" s="33" t="str">
        <x:v>ESCA_HSE_04_AI_IoT_Integrations_Audit_Sample_Data.xlsx</x:v>
      </x:c>
      <x:c r="B474" s="33" t="str">
        <x:v>AI_Models</x:v>
      </x:c>
      <x:c r="C474" s="33" t="str">
        <x:v>task_type</x:v>
      </x:c>
      <x:c r="D474" s="33" t="str">
        <x:v>enum</x:v>
      </x:c>
      <x:c r="E474" s="34" t="b">
        <x:v>1</x:v>
      </x:c>
      <x:c r="F474" s="33" t="str"/>
      <x:c r="G474" s="50" t="str">
        <x:v>Inference task</x:v>
      </x:c>
      <x:c r="H474" s="33" t="str">
        <x:v>OBJECT_DETECTION</x:v>
      </x:c>
      <x:c r="I474" s="50" t="str"/>
      <x:c r="J474" s="33" t="str">
        <x:v>INTERNAL_SAMPLE</x:v>
      </x:c>
      <x:c r="K474" s="33" t="str">
        <x:v>Member 5</x:v>
      </x:c>
    </x:row>
    <x:row r="475" ht="24" customHeight="1">
      <x:c r="A475" s="33" t="str">
        <x:v>ESCA_HSE_04_AI_IoT_Integrations_Audit_Sample_Data.xlsx</x:v>
      </x:c>
      <x:c r="B475" s="33" t="str">
        <x:v>AI_Models</x:v>
      </x:c>
      <x:c r="C475" s="33" t="str">
        <x:v>target_labels</x:v>
      </x:c>
      <x:c r="D475" s="33" t="str">
        <x:v>text</x:v>
      </x:c>
      <x:c r="E475" s="34" t="b">
        <x:v>1</x:v>
      </x:c>
      <x:c r="F475" s="33" t="str"/>
      <x:c r="G475" s="50" t="str">
        <x:v>Semicolon-separated labels</x:v>
      </x:c>
      <x:c r="H475" s="33" t="str">
        <x:v>PERSON;HARD_HAT</x:v>
      </x:c>
      <x:c r="I475" s="50" t="str"/>
      <x:c r="J475" s="33" t="str">
        <x:v>INTERNAL_SAMPLE</x:v>
      </x:c>
      <x:c r="K475" s="33" t="str">
        <x:v>Member 5</x:v>
      </x:c>
    </x:row>
    <x:row r="476" ht="24" customHeight="1">
      <x:c r="A476" s="33" t="str">
        <x:v>ESCA_HSE_04_AI_IoT_Integrations_Audit_Sample_Data.xlsx</x:v>
      </x:c>
      <x:c r="B476" s="33" t="str">
        <x:v>AI_Models</x:v>
      </x:c>
      <x:c r="C476" s="33" t="str">
        <x:v>confidence_threshold</x:v>
      </x:c>
      <x:c r="D476" s="33" t="str">
        <x:v>decimal</x:v>
      </x:c>
      <x:c r="E476" s="34" t="b">
        <x:v>1</x:v>
      </x:c>
      <x:c r="F476" s="33" t="str"/>
      <x:c r="G476" s="50" t="str">
        <x:v>Configured decision threshold</x:v>
      </x:c>
      <x:c r="H476" s="33" t="str">
        <x:v>0.8</x:v>
      </x:c>
      <x:c r="I476" s="50" t="str"/>
      <x:c r="J476" s="33" t="str">
        <x:v>INTERNAL_SAMPLE</x:v>
      </x:c>
      <x:c r="K476" s="33" t="str">
        <x:v>Member 5</x:v>
      </x:c>
    </x:row>
    <x:row r="477" ht="24" customHeight="1">
      <x:c r="A477" s="33" t="str">
        <x:v>ESCA_HSE_04_AI_IoT_Integrations_Audit_Sample_Data.xlsx</x:v>
      </x:c>
      <x:c r="B477" s="33" t="str">
        <x:v>AI_Models</x:v>
      </x:c>
      <x:c r="C477" s="33" t="str">
        <x:v>validation_precision</x:v>
      </x:c>
      <x:c r="D477" s="33" t="str">
        <x:v>decimal</x:v>
      </x:c>
      <x:c r="E477" s="34" t="b">
        <x:v>1</x:v>
      </x:c>
      <x:c r="F477" s="33" t="str"/>
      <x:c r="G477" s="50" t="str">
        <x:v>Synthetic validation precision</x:v>
      </x:c>
      <x:c r="H477" s="33" t="str">
        <x:v>0.961</x:v>
      </x:c>
      <x:c r="I477" s="50" t="str"/>
      <x:c r="J477" s="33" t="str">
        <x:v>INTERNAL_SAMPLE</x:v>
      </x:c>
      <x:c r="K477" s="33" t="str">
        <x:v>Member 5</x:v>
      </x:c>
    </x:row>
    <x:row r="478" ht="24" customHeight="1">
      <x:c r="A478" s="33" t="str">
        <x:v>ESCA_HSE_04_AI_IoT_Integrations_Audit_Sample_Data.xlsx</x:v>
      </x:c>
      <x:c r="B478" s="33" t="str">
        <x:v>AI_Models</x:v>
      </x:c>
      <x:c r="C478" s="33" t="str">
        <x:v>validation_recall</x:v>
      </x:c>
      <x:c r="D478" s="33" t="str">
        <x:v>decimal</x:v>
      </x:c>
      <x:c r="E478" s="34" t="b">
        <x:v>1</x:v>
      </x:c>
      <x:c r="F478" s="33" t="str"/>
      <x:c r="G478" s="50" t="str">
        <x:v>Synthetic validation recall</x:v>
      </x:c>
      <x:c r="H478" s="33" t="str">
        <x:v>0.944</x:v>
      </x:c>
      <x:c r="I478" s="50" t="str"/>
      <x:c r="J478" s="33" t="str">
        <x:v>INTERNAL_SAMPLE</x:v>
      </x:c>
      <x:c r="K478" s="33" t="str">
        <x:v>Member 5</x:v>
      </x:c>
    </x:row>
    <x:row r="479" ht="24" customHeight="1">
      <x:c r="A479" s="33" t="str">
        <x:v>ESCA_HSE_04_AI_IoT_Integrations_Audit_Sample_Data.xlsx</x:v>
      </x:c>
      <x:c r="B479" s="33" t="str">
        <x:v>AI_Models</x:v>
      </x:c>
      <x:c r="C479" s="33" t="str">
        <x:v>status</x:v>
      </x:c>
      <x:c r="D479" s="33" t="str">
        <x:v>enum</x:v>
      </x:c>
      <x:c r="E479" s="34" t="b">
        <x:v>1</x:v>
      </x:c>
      <x:c r="F479" s="33" t="str"/>
      <x:c r="G479" s="50" t="str">
        <x:v>Model lifecycle state</x:v>
      </x:c>
      <x:c r="H479" s="33" t="str">
        <x:v>DEPLOYED</x:v>
      </x:c>
      <x:c r="I479" s="50" t="str">
        <x:v>TRAINING | VALIDATION | DEPLOYED | RETIRED</x:v>
      </x:c>
      <x:c r="J479" s="33" t="str">
        <x:v>INTERNAL_SAMPLE</x:v>
      </x:c>
      <x:c r="K479" s="33" t="str">
        <x:v>Member 5</x:v>
      </x:c>
    </x:row>
    <x:row r="480" ht="24" customHeight="1">
      <x:c r="A480" s="33" t="str">
        <x:v>ESCA_HSE_04_AI_IoT_Integrations_Audit_Sample_Data.xlsx</x:v>
      </x:c>
      <x:c r="B480" s="33" t="str">
        <x:v>AI_Models</x:v>
      </x:c>
      <x:c r="C480" s="33" t="str">
        <x:v>deployed_at</x:v>
      </x:c>
      <x:c r="D480" s="33" t="str">
        <x:v>datetime</x:v>
      </x:c>
      <x:c r="E480" s="34" t="b">
        <x:v>0</x:v>
      </x:c>
      <x:c r="F480" s="33" t="str"/>
      <x:c r="G480" s="50" t="str">
        <x:v>Deployment timestamp</x:v>
      </x:c>
      <x:c r="H480" s="33" t="n">
        <x:v>46235.208333333336</x:v>
      </x:c>
      <x:c r="I480" s="50" t="str"/>
      <x:c r="J480" s="33" t="str">
        <x:v>INTERNAL_SAMPLE</x:v>
      </x:c>
      <x:c r="K480" s="33" t="str">
        <x:v>Member 5</x:v>
      </x:c>
    </x:row>
    <x:row r="481" ht="24" customHeight="1">
      <x:c r="A481" s="33" t="str">
        <x:v>ESCA_HSE_04_AI_IoT_Integrations_Audit_Sample_Data.xlsx</x:v>
      </x:c>
      <x:c r="B481" s="33" t="str">
        <x:v>AI_Events</x:v>
      </x:c>
      <x:c r="C481" s="33" t="str">
        <x:v>ai_event_id</x:v>
      </x:c>
      <x:c r="D481" s="33" t="str">
        <x:v>id</x:v>
      </x:c>
      <x:c r="E481" s="34" t="b">
        <x:v>1</x:v>
      </x:c>
      <x:c r="F481" s="33" t="str">
        <x:v>PK</x:v>
      </x:c>
      <x:c r="G481" s="50" t="str">
        <x:v>AI event identifier</x:v>
      </x:c>
      <x:c r="H481" s="33" t="str">
        <x:v>AIE-0001</x:v>
      </x:c>
      <x:c r="I481" s="50" t="str"/>
      <x:c r="J481" s="33" t="str">
        <x:v>INTERNAL_SAMPLE</x:v>
      </x:c>
      <x:c r="K481" s="33" t="str">
        <x:v>Member 5</x:v>
      </x:c>
    </x:row>
    <x:row r="482" ht="24" customHeight="1">
      <x:c r="A482" s="33" t="str">
        <x:v>ESCA_HSE_04_AI_IoT_Integrations_Audit_Sample_Data.xlsx</x:v>
      </x:c>
      <x:c r="B482" s="33" t="str">
        <x:v>AI_Events</x:v>
      </x:c>
      <x:c r="C482" s="33" t="str">
        <x:v>detected_at</x:v>
      </x:c>
      <x:c r="D482" s="33" t="str">
        <x:v>datetime</x:v>
      </x:c>
      <x:c r="E482" s="34" t="b">
        <x:v>1</x:v>
      </x:c>
      <x:c r="F482" s="33" t="str"/>
      <x:c r="G482" s="50" t="str">
        <x:v>Detection timestamp</x:v>
      </x:c>
      <x:c r="H482" s="33" t="n">
        <x:v>46247.32083333333</x:v>
      </x:c>
      <x:c r="I482" s="50" t="str"/>
      <x:c r="J482" s="33" t="str">
        <x:v>INTERNAL_SAMPLE</x:v>
      </x:c>
      <x:c r="K482" s="33" t="str">
        <x:v>Member 5</x:v>
      </x:c>
    </x:row>
    <x:row r="483" ht="24" customHeight="1">
      <x:c r="A483" s="33" t="str">
        <x:v>ESCA_HSE_04_AI_IoT_Integrations_Audit_Sample_Data.xlsx</x:v>
      </x:c>
      <x:c r="B483" s="33" t="str">
        <x:v>AI_Events</x:v>
      </x:c>
      <x:c r="C483" s="33" t="str">
        <x:v>event_type</x:v>
      </x:c>
      <x:c r="D483" s="33" t="str">
        <x:v>enum</x:v>
      </x:c>
      <x:c r="E483" s="34" t="b">
        <x:v>1</x:v>
      </x:c>
      <x:c r="F483" s="33" t="str"/>
      <x:c r="G483" s="50" t="str">
        <x:v>Detection event type</x:v>
      </x:c>
      <x:c r="H483" s="33" t="str">
        <x:v>PPE_VIOLATION</x:v>
      </x:c>
      <x:c r="I483" s="50" t="str"/>
      <x:c r="J483" s="33" t="str">
        <x:v>INTERNAL_SAMPLE</x:v>
      </x:c>
      <x:c r="K483" s="33" t="str">
        <x:v>Member 5</x:v>
      </x:c>
    </x:row>
    <x:row r="484" ht="24" customHeight="1">
      <x:c r="A484" s="33" t="str">
        <x:v>ESCA_HSE_04_AI_IoT_Integrations_Audit_Sample_Data.xlsx</x:v>
      </x:c>
      <x:c r="B484" s="33" t="str">
        <x:v>AI_Events</x:v>
      </x:c>
      <x:c r="C484" s="33" t="str">
        <x:v>camera_id</x:v>
      </x:c>
      <x:c r="D484" s="33" t="str">
        <x:v>id</x:v>
      </x:c>
      <x:c r="E484" s="34" t="b">
        <x:v>1</x:v>
      </x:c>
      <x:c r="F484" s="33" t="str">
        <x:v>FK -&gt; Cameras.camera_id</x:v>
      </x:c>
      <x:c r="G484" s="50" t="str">
        <x:v>Source camera</x:v>
      </x:c>
      <x:c r="H484" s="33" t="str">
        <x:v>CAM-A-07</x:v>
      </x:c>
      <x:c r="I484" s="50" t="str"/>
      <x:c r="J484" s="33" t="str">
        <x:v>INTERNAL_SAMPLE</x:v>
      </x:c>
      <x:c r="K484" s="33" t="str">
        <x:v>Member 5</x:v>
      </x:c>
    </x:row>
    <x:row r="485" ht="24" customHeight="1">
      <x:c r="A485" s="33" t="str">
        <x:v>ESCA_HSE_04_AI_IoT_Integrations_Audit_Sample_Data.xlsx</x:v>
      </x:c>
      <x:c r="B485" s="33" t="str">
        <x:v>AI_Events</x:v>
      </x:c>
      <x:c r="C485" s="33" t="str">
        <x:v>zone_id</x:v>
      </x:c>
      <x:c r="D485" s="33" t="str">
        <x:v>id</x:v>
      </x:c>
      <x:c r="E485" s="34" t="b">
        <x:v>1</x:v>
      </x:c>
      <x:c r="F485" s="33" t="str">
        <x:v>FK -&gt; Zones.zone_id</x:v>
      </x:c>
      <x:c r="G485" s="50" t="str">
        <x:v>Zone</x:v>
      </x:c>
      <x:c r="H485" s="33" t="str">
        <x:v>ZN-A1</x:v>
      </x:c>
      <x:c r="I485" s="50" t="str"/>
      <x:c r="J485" s="33" t="str">
        <x:v>INTERNAL_SAMPLE</x:v>
      </x:c>
      <x:c r="K485" s="33" t="str">
        <x:v>Member 5</x:v>
      </x:c>
    </x:row>
    <x:row r="486" ht="24" customHeight="1">
      <x:c r="A486" s="33" t="str">
        <x:v>ESCA_HSE_04_AI_IoT_Integrations_Audit_Sample_Data.xlsx</x:v>
      </x:c>
      <x:c r="B486" s="33" t="str">
        <x:v>AI_Events</x:v>
      </x:c>
      <x:c r="C486" s="33" t="str">
        <x:v>employee_id</x:v>
      </x:c>
      <x:c r="D486" s="33" t="str">
        <x:v>id</x:v>
      </x:c>
      <x:c r="E486" s="34" t="b">
        <x:v>0</x:v>
      </x:c>
      <x:c r="F486" s="33" t="str">
        <x:v>FK -&gt; Employees.employee_id</x:v>
      </x:c>
      <x:c r="G486" s="50" t="str">
        <x:v>Synthetic matched employee</x:v>
      </x:c>
      <x:c r="H486" s="33" t="str">
        <x:v>EMP-017</x:v>
      </x:c>
      <x:c r="I486" s="50" t="str"/>
      <x:c r="J486" s="33" t="str">
        <x:v>INTERNAL_SAMPLE</x:v>
      </x:c>
      <x:c r="K486" s="33" t="str">
        <x:v>Member 5</x:v>
      </x:c>
    </x:row>
    <x:row r="487" ht="24" customHeight="1">
      <x:c r="A487" s="33" t="str">
        <x:v>ESCA_HSE_04_AI_IoT_Integrations_Audit_Sample_Data.xlsx</x:v>
      </x:c>
      <x:c r="B487" s="33" t="str">
        <x:v>AI_Events</x:v>
      </x:c>
      <x:c r="C487" s="33" t="str">
        <x:v>confidence_pct</x:v>
      </x:c>
      <x:c r="D487" s="33" t="str">
        <x:v>percent</x:v>
      </x:c>
      <x:c r="E487" s="34" t="b">
        <x:v>1</x:v>
      </x:c>
      <x:c r="F487" s="33" t="str"/>
      <x:c r="G487" s="50" t="str">
        <x:v>Model confidence</x:v>
      </x:c>
      <x:c r="H487" s="33" t="str">
        <x:v>0.96</x:v>
      </x:c>
      <x:c r="I487" s="50" t="str"/>
      <x:c r="J487" s="33" t="str">
        <x:v>INTERNAL_SAMPLE</x:v>
      </x:c>
      <x:c r="K487" s="33" t="str">
        <x:v>Member 5</x:v>
      </x:c>
    </x:row>
    <x:row r="488" ht="24" customHeight="1">
      <x:c r="A488" s="33" t="str">
        <x:v>ESCA_HSE_04_AI_IoT_Integrations_Audit_Sample_Data.xlsx</x:v>
      </x:c>
      <x:c r="B488" s="33" t="str">
        <x:v>AI_Events</x:v>
      </x:c>
      <x:c r="C488" s="33" t="str">
        <x:v>severity</x:v>
      </x:c>
      <x:c r="D488" s="33" t="str">
        <x:v>enum</x:v>
      </x:c>
      <x:c r="E488" s="34" t="b">
        <x:v>1</x:v>
      </x:c>
      <x:c r="F488" s="33" t="str"/>
      <x:c r="G488" s="50" t="str">
        <x:v>Event severity</x:v>
      </x:c>
      <x:c r="H488" s="33" t="str">
        <x:v>HIGH</x:v>
      </x:c>
      <x:c r="I488" s="50" t="str">
        <x:v>NORMAL | MEDIUM | HIGH | CRITICAL</x:v>
      </x:c>
      <x:c r="J488" s="33" t="str">
        <x:v>INTERNAL_SAMPLE</x:v>
      </x:c>
      <x:c r="K488" s="33" t="str">
        <x:v>Member 5</x:v>
      </x:c>
    </x:row>
    <x:row r="489" ht="24" customHeight="1">
      <x:c r="A489" s="33" t="str">
        <x:v>ESCA_HSE_04_AI_IoT_Integrations_Audit_Sample_Data.xlsx</x:v>
      </x:c>
      <x:c r="B489" s="33" t="str">
        <x:v>AI_Events</x:v>
      </x:c>
      <x:c r="C489" s="33" t="str">
        <x:v>status</x:v>
      </x:c>
      <x:c r="D489" s="33" t="str">
        <x:v>enum</x:v>
      </x:c>
      <x:c r="E489" s="34" t="b">
        <x:v>1</x:v>
      </x:c>
      <x:c r="F489" s="33" t="str"/>
      <x:c r="G489" s="50" t="str">
        <x:v>Review state</x:v>
      </x:c>
      <x:c r="H489" s="33" t="str">
        <x:v>OPEN</x:v>
      </x:c>
      <x:c r="I489" s="50" t="str">
        <x:v>OPEN | RESOLVED | FALSE_POSITIVE | MODEL_REVIEW</x:v>
      </x:c>
      <x:c r="J489" s="33" t="str">
        <x:v>INTERNAL_SAMPLE</x:v>
      </x:c>
      <x:c r="K489" s="33" t="str">
        <x:v>Member 5</x:v>
      </x:c>
    </x:row>
    <x:row r="490" ht="24" customHeight="1">
      <x:c r="A490" s="33" t="str">
        <x:v>ESCA_HSE_04_AI_IoT_Integrations_Audit_Sample_Data.xlsx</x:v>
      </x:c>
      <x:c r="B490" s="33" t="str">
        <x:v>AI_Events</x:v>
      </x:c>
      <x:c r="C490" s="33" t="str">
        <x:v>action_taken</x:v>
      </x:c>
      <x:c r="D490" s="33" t="str">
        <x:v>text</x:v>
      </x:c>
      <x:c r="E490" s="34" t="b">
        <x:v>1</x:v>
      </x:c>
      <x:c r="F490" s="33" t="str"/>
      <x:c r="G490" s="50" t="str">
        <x:v>Response summary</x:v>
      </x:c>
      <x:c r="H490" s="33" t="str">
        <x:v>Supervisor notified</x:v>
      </x:c>
      <x:c r="I490" s="50" t="str"/>
      <x:c r="J490" s="33" t="str">
        <x:v>INTERNAL_SAMPLE</x:v>
      </x:c>
      <x:c r="K490" s="33" t="str">
        <x:v>Member 5</x:v>
      </x:c>
    </x:row>
    <x:row r="491" ht="24" customHeight="1">
      <x:c r="A491" s="33" t="str">
        <x:v>ESCA_HSE_04_AI_IoT_Integrations_Audit_Sample_Data.xlsx</x:v>
      </x:c>
      <x:c r="B491" s="33" t="str">
        <x:v>AI_Events</x:v>
      </x:c>
      <x:c r="C491" s="33" t="str">
        <x:v>linked_incident_id</x:v>
      </x:c>
      <x:c r="D491" s="33" t="str">
        <x:v>id</x:v>
      </x:c>
      <x:c r="E491" s="34" t="b">
        <x:v>0</x:v>
      </x:c>
      <x:c r="F491" s="33" t="str">
        <x:v>FK -&gt; Incidents.incident_id</x:v>
      </x:c>
      <x:c r="G491" s="50" t="str">
        <x:v>Linked incident</x:v>
      </x:c>
      <x:c r="H491" s="33" t="str">
        <x:v>INC-2026-0081</x:v>
      </x:c>
      <x:c r="I491" s="50" t="str"/>
      <x:c r="J491" s="33" t="str">
        <x:v>INTERNAL_SAMPLE</x:v>
      </x:c>
      <x:c r="K491" s="33" t="str">
        <x:v>Member 5</x:v>
      </x:c>
    </x:row>
    <x:row r="492" ht="24" customHeight="1">
      <x:c r="A492" s="33" t="str">
        <x:v>ESCA_HSE_04_AI_IoT_Integrations_Audit_Sample_Data.xlsx</x:v>
      </x:c>
      <x:c r="B492" s="33" t="str">
        <x:v>Wearable_Devices</x:v>
      </x:c>
      <x:c r="C492" s="33" t="str">
        <x:v>device_id</x:v>
      </x:c>
      <x:c r="D492" s="33" t="str">
        <x:v>id</x:v>
      </x:c>
      <x:c r="E492" s="34" t="b">
        <x:v>1</x:v>
      </x:c>
      <x:c r="F492" s="33" t="str">
        <x:v>PK</x:v>
      </x:c>
      <x:c r="G492" s="50" t="str">
        <x:v>Wearable identifier</x:v>
      </x:c>
      <x:c r="H492" s="33" t="str">
        <x:v>WRB-0001</x:v>
      </x:c>
      <x:c r="I492" s="50" t="str"/>
      <x:c r="J492" s="33" t="str">
        <x:v>INTERNAL_SAMPLE</x:v>
      </x:c>
      <x:c r="K492" s="33" t="str">
        <x:v>Member 5</x:v>
      </x:c>
    </x:row>
    <x:row r="493" ht="24" customHeight="1">
      <x:c r="A493" s="33" t="str">
        <x:v>ESCA_HSE_04_AI_IoT_Integrations_Audit_Sample_Data.xlsx</x:v>
      </x:c>
      <x:c r="B493" s="33" t="str">
        <x:v>Wearable_Devices</x:v>
      </x:c>
      <x:c r="C493" s="33" t="str">
        <x:v>employee_id</x:v>
      </x:c>
      <x:c r="D493" s="33" t="str">
        <x:v>id</x:v>
      </x:c>
      <x:c r="E493" s="34" t="b">
        <x:v>1</x:v>
      </x:c>
      <x:c r="F493" s="33" t="str">
        <x:v>FK -&gt; Employees.employee_id</x:v>
      </x:c>
      <x:c r="G493" s="50" t="str">
        <x:v>Assigned synthetic employee</x:v>
      </x:c>
      <x:c r="H493" s="33" t="str">
        <x:v>EMP-017</x:v>
      </x:c>
      <x:c r="I493" s="50" t="str"/>
      <x:c r="J493" s="33" t="str">
        <x:v>INTERNAL_SAMPLE</x:v>
      </x:c>
      <x:c r="K493" s="33" t="str">
        <x:v>Member 5</x:v>
      </x:c>
    </x:row>
    <x:row r="494" ht="24" customHeight="1">
      <x:c r="A494" s="33" t="str">
        <x:v>ESCA_HSE_04_AI_IoT_Integrations_Audit_Sample_Data.xlsx</x:v>
      </x:c>
      <x:c r="B494" s="33" t="str">
        <x:v>Wearable_Devices</x:v>
      </x:c>
      <x:c r="C494" s="33" t="str">
        <x:v>device_type</x:v>
      </x:c>
      <x:c r="D494" s="33" t="str">
        <x:v>enum</x:v>
      </x:c>
      <x:c r="E494" s="34" t="b">
        <x:v>1</x:v>
      </x:c>
      <x:c r="F494" s="33" t="str"/>
      <x:c r="G494" s="50" t="str">
        <x:v>Wearable type</x:v>
      </x:c>
      <x:c r="H494" s="33" t="str">
        <x:v>SMART_BADGE</x:v>
      </x:c>
      <x:c r="I494" s="50" t="str"/>
      <x:c r="J494" s="33" t="str">
        <x:v>INTERNAL_SAMPLE</x:v>
      </x:c>
      <x:c r="K494" s="33" t="str">
        <x:v>Member 5</x:v>
      </x:c>
    </x:row>
    <x:row r="495" ht="24" customHeight="1">
      <x:c r="A495" s="33" t="str">
        <x:v>ESCA_HSE_04_AI_IoT_Integrations_Audit_Sample_Data.xlsx</x:v>
      </x:c>
      <x:c r="B495" s="33" t="str">
        <x:v>Wearable_Devices</x:v>
      </x:c>
      <x:c r="C495" s="33" t="str">
        <x:v>assigned_at</x:v>
      </x:c>
      <x:c r="D495" s="33" t="str">
        <x:v>date</x:v>
      </x:c>
      <x:c r="E495" s="34" t="b">
        <x:v>1</x:v>
      </x:c>
      <x:c r="F495" s="33" t="str"/>
      <x:c r="G495" s="50" t="str">
        <x:v>Assignment date</x:v>
      </x:c>
      <x:c r="H495" s="33" t="n">
        <x:v>46023</x:v>
      </x:c>
      <x:c r="I495" s="50" t="str"/>
      <x:c r="J495" s="33" t="str">
        <x:v>INTERNAL_SAMPLE</x:v>
      </x:c>
      <x:c r="K495" s="33" t="str">
        <x:v>Member 5</x:v>
      </x:c>
    </x:row>
    <x:row r="496" ht="24" customHeight="1">
      <x:c r="A496" s="33" t="str">
        <x:v>ESCA_HSE_04_AI_IoT_Integrations_Audit_Sample_Data.xlsx</x:v>
      </x:c>
      <x:c r="B496" s="33" t="str">
        <x:v>Wearable_Devices</x:v>
      </x:c>
      <x:c r="C496" s="33" t="str">
        <x:v>status</x:v>
      </x:c>
      <x:c r="D496" s="33" t="str">
        <x:v>enum</x:v>
      </x:c>
      <x:c r="E496" s="34" t="b">
        <x:v>1</x:v>
      </x:c>
      <x:c r="F496" s="33" t="str"/>
      <x:c r="G496" s="50" t="str">
        <x:v>Device status</x:v>
      </x:c>
      <x:c r="H496" s="33" t="str">
        <x:v>ACTIVE</x:v>
      </x:c>
      <x:c r="I496" s="50" t="str">
        <x:v>ACTIVE | CHARGING | OFFLINE | RETIRED</x:v>
      </x:c>
      <x:c r="J496" s="33" t="str">
        <x:v>INTERNAL_SAMPLE</x:v>
      </x:c>
      <x:c r="K496" s="33" t="str">
        <x:v>Member 5</x:v>
      </x:c>
    </x:row>
    <x:row r="497" ht="24" customHeight="1">
      <x:c r="A497" s="33" t="str">
        <x:v>ESCA_HSE_04_AI_IoT_Integrations_Audit_Sample_Data.xlsx</x:v>
      </x:c>
      <x:c r="B497" s="33" t="str">
        <x:v>Wearable_Devices</x:v>
      </x:c>
      <x:c r="C497" s="33" t="str">
        <x:v>battery_pct</x:v>
      </x:c>
      <x:c r="D497" s="33" t="str">
        <x:v>integer</x:v>
      </x:c>
      <x:c r="E497" s="34" t="b">
        <x:v>1</x:v>
      </x:c>
      <x:c r="F497" s="33" t="str"/>
      <x:c r="G497" s="50" t="str">
        <x:v>Battery percentage</x:v>
      </x:c>
      <x:c r="H497" s="33" t="str">
        <x:v>76</x:v>
      </x:c>
      <x:c r="I497" s="50" t="str"/>
      <x:c r="J497" s="33" t="str">
        <x:v>INTERNAL_SAMPLE</x:v>
      </x:c>
      <x:c r="K497" s="33" t="str">
        <x:v>Member 5</x:v>
      </x:c>
    </x:row>
    <x:row r="498" ht="24" customHeight="1">
      <x:c r="A498" s="33" t="str">
        <x:v>ESCA_HSE_04_AI_IoT_Integrations_Audit_Sample_Data.xlsx</x:v>
      </x:c>
      <x:c r="B498" s="33" t="str">
        <x:v>Wearable_Devices</x:v>
      </x:c>
      <x:c r="C498" s="33" t="str">
        <x:v>last_heartbeat_at</x:v>
      </x:c>
      <x:c r="D498" s="33" t="str">
        <x:v>datetime</x:v>
      </x:c>
      <x:c r="E498" s="34" t="b">
        <x:v>1</x:v>
      </x:c>
      <x:c r="F498" s="33" t="str"/>
      <x:c r="G498" s="50" t="str">
        <x:v>Last heartbeat</x:v>
      </x:c>
      <x:c r="H498" s="33" t="n">
        <x:v>46247.37430555555</x:v>
      </x:c>
      <x:c r="I498" s="50" t="str"/>
      <x:c r="J498" s="33" t="str">
        <x:v>INTERNAL_SAMPLE</x:v>
      </x:c>
      <x:c r="K498" s="33" t="str">
        <x:v>Member 5</x:v>
      </x:c>
    </x:row>
    <x:row r="499" ht="24" customHeight="1">
      <x:c r="A499" s="33" t="str">
        <x:v>ESCA_HSE_04_AI_IoT_Integrations_Audit_Sample_Data.xlsx</x:v>
      </x:c>
      <x:c r="B499" s="33" t="str">
        <x:v>Wearable_Events</x:v>
      </x:c>
      <x:c r="C499" s="33" t="str">
        <x:v>wearable_event_id</x:v>
      </x:c>
      <x:c r="D499" s="33" t="str">
        <x:v>id</x:v>
      </x:c>
      <x:c r="E499" s="34" t="b">
        <x:v>1</x:v>
      </x:c>
      <x:c r="F499" s="33" t="str">
        <x:v>PK</x:v>
      </x:c>
      <x:c r="G499" s="50" t="str">
        <x:v>Event identifier</x:v>
      </x:c>
      <x:c r="H499" s="33" t="str">
        <x:v>WRE-001</x:v>
      </x:c>
      <x:c r="I499" s="50" t="str"/>
      <x:c r="J499" s="33" t="str">
        <x:v>INTERNAL_SAMPLE</x:v>
      </x:c>
      <x:c r="K499" s="33" t="str">
        <x:v>Member 5</x:v>
      </x:c>
    </x:row>
    <x:row r="500" ht="24" customHeight="1">
      <x:c r="A500" s="33" t="str">
        <x:v>ESCA_HSE_04_AI_IoT_Integrations_Audit_Sample_Data.xlsx</x:v>
      </x:c>
      <x:c r="B500" s="33" t="str">
        <x:v>Wearable_Events</x:v>
      </x:c>
      <x:c r="C500" s="33" t="str">
        <x:v>device_id</x:v>
      </x:c>
      <x:c r="D500" s="33" t="str">
        <x:v>id</x:v>
      </x:c>
      <x:c r="E500" s="34" t="b">
        <x:v>1</x:v>
      </x:c>
      <x:c r="F500" s="33" t="str">
        <x:v>FK -&gt; Wearable_Devices.device_id</x:v>
      </x:c>
      <x:c r="G500" s="50" t="str">
        <x:v>Device</x:v>
      </x:c>
      <x:c r="H500" s="33" t="str">
        <x:v>WRB-0001</x:v>
      </x:c>
      <x:c r="I500" s="50" t="str"/>
      <x:c r="J500" s="33" t="str">
        <x:v>INTERNAL_SAMPLE</x:v>
      </x:c>
      <x:c r="K500" s="33" t="str">
        <x:v>Member 5</x:v>
      </x:c>
    </x:row>
    <x:row r="501" ht="24" customHeight="1">
      <x:c r="A501" s="33" t="str">
        <x:v>ESCA_HSE_04_AI_IoT_Integrations_Audit_Sample_Data.xlsx</x:v>
      </x:c>
      <x:c r="B501" s="33" t="str">
        <x:v>Wearable_Events</x:v>
      </x:c>
      <x:c r="C501" s="33" t="str">
        <x:v>employee_id</x:v>
      </x:c>
      <x:c r="D501" s="33" t="str">
        <x:v>id</x:v>
      </x:c>
      <x:c r="E501" s="34" t="b">
        <x:v>1</x:v>
      </x:c>
      <x:c r="F501" s="33" t="str">
        <x:v>FK -&gt; Employees.employee_id</x:v>
      </x:c>
      <x:c r="G501" s="50" t="str">
        <x:v>Synthetic employee</x:v>
      </x:c>
      <x:c r="H501" s="33" t="str">
        <x:v>EMP-017</x:v>
      </x:c>
      <x:c r="I501" s="50" t="str"/>
      <x:c r="J501" s="33" t="str">
        <x:v>INTERNAL_SAMPLE</x:v>
      </x:c>
      <x:c r="K501" s="33" t="str">
        <x:v>Member 5</x:v>
      </x:c>
    </x:row>
    <x:row r="502" ht="24" customHeight="1">
      <x:c r="A502" s="33" t="str">
        <x:v>ESCA_HSE_04_AI_IoT_Integrations_Audit_Sample_Data.xlsx</x:v>
      </x:c>
      <x:c r="B502" s="33" t="str">
        <x:v>Wearable_Events</x:v>
      </x:c>
      <x:c r="C502" s="33" t="str">
        <x:v>captured_at</x:v>
      </x:c>
      <x:c r="D502" s="33" t="str">
        <x:v>datetime</x:v>
      </x:c>
      <x:c r="E502" s="34" t="b">
        <x:v>1</x:v>
      </x:c>
      <x:c r="F502" s="33" t="str"/>
      <x:c r="G502" s="50" t="str">
        <x:v>Capture time</x:v>
      </x:c>
      <x:c r="H502" s="33" t="n">
        <x:v>46247.256944444445</x:v>
      </x:c>
      <x:c r="I502" s="50" t="str"/>
      <x:c r="J502" s="33" t="str">
        <x:v>INTERNAL_SAMPLE</x:v>
      </x:c>
      <x:c r="K502" s="33" t="str">
        <x:v>Member 5</x:v>
      </x:c>
    </x:row>
    <x:row r="503" ht="24" customHeight="1">
      <x:c r="A503" s="33" t="str">
        <x:v>ESCA_HSE_04_AI_IoT_Integrations_Audit_Sample_Data.xlsx</x:v>
      </x:c>
      <x:c r="B503" s="33" t="str">
        <x:v>Wearable_Events</x:v>
      </x:c>
      <x:c r="C503" s="33" t="str">
        <x:v>metric_type</x:v>
      </x:c>
      <x:c r="D503" s="33" t="str">
        <x:v>enum</x:v>
      </x:c>
      <x:c r="E503" s="34" t="b">
        <x:v>1</x:v>
      </x:c>
      <x:c r="F503" s="33" t="str"/>
      <x:c r="G503" s="50" t="str">
        <x:v>Metric/event</x:v>
      </x:c>
      <x:c r="H503" s="33" t="str">
        <x:v>HEART_RATE</x:v>
      </x:c>
      <x:c r="I503" s="50" t="str"/>
      <x:c r="J503" s="33" t="str">
        <x:v>INTERNAL_SAMPLE</x:v>
      </x:c>
      <x:c r="K503" s="33" t="str">
        <x:v>Member 5</x:v>
      </x:c>
    </x:row>
    <x:row r="504" ht="24" customHeight="1">
      <x:c r="A504" s="33" t="str">
        <x:v>ESCA_HSE_04_AI_IoT_Integrations_Audit_Sample_Data.xlsx</x:v>
      </x:c>
      <x:c r="B504" s="33" t="str">
        <x:v>Wearable_Events</x:v>
      </x:c>
      <x:c r="C504" s="33" t="str">
        <x:v>value</x:v>
      </x:c>
      <x:c r="D504" s="33" t="str">
        <x:v>decimal</x:v>
      </x:c>
      <x:c r="E504" s="34" t="b">
        <x:v>1</x:v>
      </x:c>
      <x:c r="F504" s="33" t="str"/>
      <x:c r="G504" s="50" t="str">
        <x:v>Observed value</x:v>
      </x:c>
      <x:c r="H504" s="33" t="str">
        <x:v>148</x:v>
      </x:c>
      <x:c r="I504" s="50" t="str"/>
      <x:c r="J504" s="33" t="str">
        <x:v>INTERNAL_SAMPLE</x:v>
      </x:c>
      <x:c r="K504" s="33" t="str">
        <x:v>Member 5</x:v>
      </x:c>
    </x:row>
    <x:row r="505" ht="24" customHeight="1">
      <x:c r="A505" s="33" t="str">
        <x:v>ESCA_HSE_04_AI_IoT_Integrations_Audit_Sample_Data.xlsx</x:v>
      </x:c>
      <x:c r="B505" s="33" t="str">
        <x:v>Wearable_Events</x:v>
      </x:c>
      <x:c r="C505" s="33" t="str">
        <x:v>unit</x:v>
      </x:c>
      <x:c r="D505" s="33" t="str">
        <x:v>text</x:v>
      </x:c>
      <x:c r="E505" s="34" t="b">
        <x:v>1</x:v>
      </x:c>
      <x:c r="F505" s="33" t="str"/>
      <x:c r="G505" s="50" t="str">
        <x:v>Unit</x:v>
      </x:c>
      <x:c r="H505" s="33" t="str">
        <x:v>bpm</x:v>
      </x:c>
      <x:c r="I505" s="50" t="str"/>
      <x:c r="J505" s="33" t="str">
        <x:v>INTERNAL_SAMPLE</x:v>
      </x:c>
      <x:c r="K505" s="33" t="str">
        <x:v>Member 5</x:v>
      </x:c>
    </x:row>
    <x:row r="506" ht="24" customHeight="1">
      <x:c r="A506" s="33" t="str">
        <x:v>ESCA_HSE_04_AI_IoT_Integrations_Audit_Sample_Data.xlsx</x:v>
      </x:c>
      <x:c r="B506" s="33" t="str">
        <x:v>Wearable_Events</x:v>
      </x:c>
      <x:c r="C506" s="33" t="str">
        <x:v>threshold</x:v>
      </x:c>
      <x:c r="D506" s="33" t="str">
        <x:v>decimal</x:v>
      </x:c>
      <x:c r="E506" s="34" t="b">
        <x:v>1</x:v>
      </x:c>
      <x:c r="F506" s="33" t="str"/>
      <x:c r="G506" s="50" t="str">
        <x:v>Configured threshold</x:v>
      </x:c>
      <x:c r="H506" s="33" t="str">
        <x:v>130</x:v>
      </x:c>
      <x:c r="I506" s="50" t="str"/>
      <x:c r="J506" s="33" t="str">
        <x:v>INTERNAL_SAMPLE</x:v>
      </x:c>
      <x:c r="K506" s="33" t="str">
        <x:v>Member 5</x:v>
      </x:c>
    </x:row>
    <x:row r="507" ht="24" customHeight="1">
      <x:c r="A507" s="33" t="str">
        <x:v>ESCA_HSE_04_AI_IoT_Integrations_Audit_Sample_Data.xlsx</x:v>
      </x:c>
      <x:c r="B507" s="33" t="str">
        <x:v>Wearable_Events</x:v>
      </x:c>
      <x:c r="C507" s="33" t="str">
        <x:v>severity</x:v>
      </x:c>
      <x:c r="D507" s="33" t="str">
        <x:v>enum</x:v>
      </x:c>
      <x:c r="E507" s="34" t="b">
        <x:v>1</x:v>
      </x:c>
      <x:c r="F507" s="33" t="str"/>
      <x:c r="G507" s="50" t="str">
        <x:v>Severity</x:v>
      </x:c>
      <x:c r="H507" s="33" t="str">
        <x:v>HIGH</x:v>
      </x:c>
      <x:c r="I507" s="50" t="str">
        <x:v>NORMAL | WARNING | HIGH | CRITICAL</x:v>
      </x:c>
      <x:c r="J507" s="33" t="str">
        <x:v>INTERNAL_SAMPLE</x:v>
      </x:c>
      <x:c r="K507" s="33" t="str">
        <x:v>Member 5</x:v>
      </x:c>
    </x:row>
    <x:row r="508" ht="24" customHeight="1">
      <x:c r="A508" s="33" t="str">
        <x:v>ESCA_HSE_04_AI_IoT_Integrations_Audit_Sample_Data.xlsx</x:v>
      </x:c>
      <x:c r="B508" s="33" t="str">
        <x:v>Wearable_Events</x:v>
      </x:c>
      <x:c r="C508" s="33" t="str">
        <x:v>status</x:v>
      </x:c>
      <x:c r="D508" s="33" t="str">
        <x:v>enum</x:v>
      </x:c>
      <x:c r="E508" s="34" t="b">
        <x:v>1</x:v>
      </x:c>
      <x:c r="F508" s="33" t="str"/>
      <x:c r="G508" s="50" t="str">
        <x:v>Event state</x:v>
      </x:c>
      <x:c r="H508" s="33" t="str">
        <x:v>OPEN</x:v>
      </x:c>
      <x:c r="I508" s="50" t="str">
        <x:v>OPEN | RESOLVED | CLOSED | FALSE_POSITIVE | TEST</x:v>
      </x:c>
      <x:c r="J508" s="33" t="str">
        <x:v>INTERNAL_SAMPLE</x:v>
      </x:c>
      <x:c r="K508" s="33" t="str">
        <x:v>Member 5</x:v>
      </x:c>
    </x:row>
    <x:row r="509" ht="24" customHeight="1">
      <x:c r="A509" s="33" t="str">
        <x:v>ESCA_HSE_04_AI_IoT_Integrations_Audit_Sample_Data.xlsx</x:v>
      </x:c>
      <x:c r="B509" s="33" t="str">
        <x:v>Wearable_Events</x:v>
      </x:c>
      <x:c r="C509" s="33" t="str">
        <x:v>action_taken</x:v>
      </x:c>
      <x:c r="D509" s="33" t="str">
        <x:v>text</x:v>
      </x:c>
      <x:c r="E509" s="34" t="b">
        <x:v>1</x:v>
      </x:c>
      <x:c r="F509" s="33" t="str"/>
      <x:c r="G509" s="50" t="str">
        <x:v>Response summary</x:v>
      </x:c>
      <x:c r="H509" s="33" t="str">
        <x:v>Rest recommendation</x:v>
      </x:c>
      <x:c r="I509" s="50" t="str"/>
      <x:c r="J509" s="33" t="str">
        <x:v>INTERNAL_SAMPLE</x:v>
      </x:c>
      <x:c r="K509" s="33" t="str">
        <x:v>Member 5</x:v>
      </x:c>
    </x:row>
    <x:row r="510" ht="24" customHeight="1">
      <x:c r="A510" s="33" t="str">
        <x:v>ESCA_HSE_04_AI_IoT_Integrations_Audit_Sample_Data.xlsx</x:v>
      </x:c>
      <x:c r="B510" s="33" t="str">
        <x:v>Integrations</x:v>
      </x:c>
      <x:c r="C510" s="33" t="str">
        <x:v>integration_id</x:v>
      </x:c>
      <x:c r="D510" s="33" t="str">
        <x:v>id</x:v>
      </x:c>
      <x:c r="E510" s="34" t="b">
        <x:v>1</x:v>
      </x:c>
      <x:c r="F510" s="33" t="str">
        <x:v>PK</x:v>
      </x:c>
      <x:c r="G510" s="50" t="str">
        <x:v>Integration identifier</x:v>
      </x:c>
      <x:c r="H510" s="33" t="str">
        <x:v>INT-D365</x:v>
      </x:c>
      <x:c r="I510" s="50" t="str"/>
      <x:c r="J510" s="33" t="str">
        <x:v>INTERNAL_SAMPLE</x:v>
      </x:c>
      <x:c r="K510" s="33" t="str">
        <x:v>Member 2</x:v>
      </x:c>
    </x:row>
    <x:row r="511" ht="24" customHeight="1">
      <x:c r="A511" s="33" t="str">
        <x:v>ESCA_HSE_04_AI_IoT_Integrations_Audit_Sample_Data.xlsx</x:v>
      </x:c>
      <x:c r="B511" s="33" t="str">
        <x:v>Integrations</x:v>
      </x:c>
      <x:c r="C511" s="33" t="str">
        <x:v>system_name</x:v>
      </x:c>
      <x:c r="D511" s="33" t="str">
        <x:v>text</x:v>
      </x:c>
      <x:c r="E511" s="34" t="b">
        <x:v>1</x:v>
      </x:c>
      <x:c r="F511" s="33" t="str"/>
      <x:c r="G511" s="50" t="str">
        <x:v>Connected system</x:v>
      </x:c>
      <x:c r="H511" s="33" t="str">
        <x:v>Microsoft Dynamics 365 F&amp;O</x:v>
      </x:c>
      <x:c r="I511" s="50" t="str"/>
      <x:c r="J511" s="33" t="str">
        <x:v>INTERNAL_SAMPLE</x:v>
      </x:c>
      <x:c r="K511" s="33" t="str">
        <x:v>Member 2</x:v>
      </x:c>
    </x:row>
    <x:row r="512" ht="24" customHeight="1">
      <x:c r="A512" s="33" t="str">
        <x:v>ESCA_HSE_04_AI_IoT_Integrations_Audit_Sample_Data.xlsx</x:v>
      </x:c>
      <x:c r="B512" s="33" t="str">
        <x:v>Integrations</x:v>
      </x:c>
      <x:c r="C512" s="33" t="str">
        <x:v>system_type</x:v>
      </x:c>
      <x:c r="D512" s="33" t="str">
        <x:v>enum</x:v>
      </x:c>
      <x:c r="E512" s="34" t="b">
        <x:v>1</x:v>
      </x:c>
      <x:c r="F512" s="33" t="str"/>
      <x:c r="G512" s="50" t="str">
        <x:v>System category</x:v>
      </x:c>
      <x:c r="H512" s="33" t="str">
        <x:v>ERP</x:v>
      </x:c>
      <x:c r="I512" s="50" t="str"/>
      <x:c r="J512" s="33" t="str">
        <x:v>INTERNAL_SAMPLE</x:v>
      </x:c>
      <x:c r="K512" s="33" t="str">
        <x:v>Member 2</x:v>
      </x:c>
    </x:row>
    <x:row r="513" ht="24" customHeight="1">
      <x:c r="A513" s="33" t="str">
        <x:v>ESCA_HSE_04_AI_IoT_Integrations_Audit_Sample_Data.xlsx</x:v>
      </x:c>
      <x:c r="B513" s="33" t="str">
        <x:v>Integrations</x:v>
      </x:c>
      <x:c r="C513" s="33" t="str">
        <x:v>protocol</x:v>
      </x:c>
      <x:c r="D513" s="33" t="str">
        <x:v>text</x:v>
      </x:c>
      <x:c r="E513" s="34" t="b">
        <x:v>1</x:v>
      </x:c>
      <x:c r="F513" s="33" t="str"/>
      <x:c r="G513" s="50" t="str">
        <x:v>Protocol(s)</x:v>
      </x:c>
      <x:c r="H513" s="33" t="str">
        <x:v>OData;REST</x:v>
      </x:c>
      <x:c r="I513" s="50" t="str"/>
      <x:c r="J513" s="33" t="str">
        <x:v>INTERNAL_SAMPLE</x:v>
      </x:c>
      <x:c r="K513" s="33" t="str">
        <x:v>Member 2</x:v>
      </x:c>
    </x:row>
    <x:row r="514" ht="24" customHeight="1">
      <x:c r="A514" s="33" t="str">
        <x:v>ESCA_HSE_04_AI_IoT_Integrations_Audit_Sample_Data.xlsx</x:v>
      </x:c>
      <x:c r="B514" s="33" t="str">
        <x:v>Integrations</x:v>
      </x:c>
      <x:c r="C514" s="33" t="str">
        <x:v>direction</x:v>
      </x:c>
      <x:c r="D514" s="33" t="str">
        <x:v>enum</x:v>
      </x:c>
      <x:c r="E514" s="34" t="b">
        <x:v>1</x:v>
      </x:c>
      <x:c r="F514" s="33" t="str"/>
      <x:c r="G514" s="50" t="str">
        <x:v>Data direction</x:v>
      </x:c>
      <x:c r="H514" s="33" t="str">
        <x:v>BIDIRECTIONAL</x:v>
      </x:c>
      <x:c r="I514" s="50" t="str">
        <x:v>INBOUND | OUTBOUND | BIDIRECTIONAL</x:v>
      </x:c>
      <x:c r="J514" s="33" t="str">
        <x:v>INTERNAL_SAMPLE</x:v>
      </x:c>
      <x:c r="K514" s="33" t="str">
        <x:v>Member 2</x:v>
      </x:c>
    </x:row>
    <x:row r="515" ht="24" customHeight="1">
      <x:c r="A515" s="33" t="str">
        <x:v>ESCA_HSE_04_AI_IoT_Integrations_Audit_Sample_Data.xlsx</x:v>
      </x:c>
      <x:c r="B515" s="33" t="str">
        <x:v>Integrations</x:v>
      </x:c>
      <x:c r="C515" s="33" t="str">
        <x:v>frequency</x:v>
      </x:c>
      <x:c r="D515" s="33" t="str">
        <x:v>enum</x:v>
      </x:c>
      <x:c r="E515" s="34" t="b">
        <x:v>1</x:v>
      </x:c>
      <x:c r="F515" s="33" t="str"/>
      <x:c r="G515" s="50" t="str">
        <x:v>Exchange frequency</x:v>
      </x:c>
      <x:c r="H515" s="33" t="str">
        <x:v>REAL_TIME</x:v>
      </x:c>
      <x:c r="I515" s="50" t="str"/>
      <x:c r="J515" s="33" t="str">
        <x:v>INTERNAL_SAMPLE</x:v>
      </x:c>
      <x:c r="K515" s="33" t="str">
        <x:v>Member 2</x:v>
      </x:c>
    </x:row>
    <x:row r="516" ht="24" customHeight="1">
      <x:c r="A516" s="33" t="str">
        <x:v>ESCA_HSE_04_AI_IoT_Integrations_Audit_Sample_Data.xlsx</x:v>
      </x:c>
      <x:c r="B516" s="33" t="str">
        <x:v>Integrations</x:v>
      </x:c>
      <x:c r="C516" s="33" t="str">
        <x:v>base_endpoint</x:v>
      </x:c>
      <x:c r="D516" s="33" t="str">
        <x:v>text</x:v>
      </x:c>
      <x:c r="E516" s="34" t="b">
        <x:v>1</x:v>
      </x:c>
      <x:c r="F516" s="33" t="str"/>
      <x:c r="G516" s="50" t="str">
        <x:v>Synthetic endpoint</x:v>
      </x:c>
      <x:c r="H516" s="33" t="str">
        <x:v>https://d365.example.local/api</x:v>
      </x:c>
      <x:c r="I516" s="50" t="str"/>
      <x:c r="J516" s="33" t="str">
        <x:v>INTERNAL_SAMPLE</x:v>
      </x:c>
      <x:c r="K516" s="33" t="str">
        <x:v>Member 2</x:v>
      </x:c>
    </x:row>
    <x:row r="517" ht="24" customHeight="1">
      <x:c r="A517" s="33" t="str">
        <x:v>ESCA_HSE_04_AI_IoT_Integrations_Audit_Sample_Data.xlsx</x:v>
      </x:c>
      <x:c r="B517" s="33" t="str">
        <x:v>Integrations</x:v>
      </x:c>
      <x:c r="C517" s="33" t="str">
        <x:v>auth_method</x:v>
      </x:c>
      <x:c r="D517" s="33" t="str">
        <x:v>enum</x:v>
      </x:c>
      <x:c r="E517" s="34" t="b">
        <x:v>1</x:v>
      </x:c>
      <x:c r="F517" s="33" t="str"/>
      <x:c r="G517" s="50" t="str">
        <x:v>Authentication method</x:v>
      </x:c>
      <x:c r="H517" s="33" t="str">
        <x:v>OAUTH2_CLIENT_CREDENTIALS</x:v>
      </x:c>
      <x:c r="I517" s="50" t="str"/>
      <x:c r="J517" s="33" t="str">
        <x:v>INTERNAL_SAMPLE</x:v>
      </x:c>
      <x:c r="K517" s="33" t="str">
        <x:v>Member 2</x:v>
      </x:c>
    </x:row>
    <x:row r="518" ht="24" customHeight="1">
      <x:c r="A518" s="33" t="str">
        <x:v>ESCA_HSE_04_AI_IoT_Integrations_Audit_Sample_Data.xlsx</x:v>
      </x:c>
      <x:c r="B518" s="33" t="str">
        <x:v>Integrations</x:v>
      </x:c>
      <x:c r="C518" s="33" t="str">
        <x:v>status</x:v>
      </x:c>
      <x:c r="D518" s="33" t="str">
        <x:v>enum</x:v>
      </x:c>
      <x:c r="E518" s="34" t="b">
        <x:v>1</x:v>
      </x:c>
      <x:c r="F518" s="33" t="str"/>
      <x:c r="G518" s="50" t="str">
        <x:v>Integration state</x:v>
      </x:c>
      <x:c r="H518" s="33" t="str">
        <x:v>CONNECTED</x:v>
      </x:c>
      <x:c r="I518" s="50" t="str">
        <x:v>CONNECTED | TESTING | DEGRADED | OFFLINE</x:v>
      </x:c>
      <x:c r="J518" s="33" t="str">
        <x:v>INTERNAL_SAMPLE</x:v>
      </x:c>
      <x:c r="K518" s="33" t="str">
        <x:v>Member 2</x:v>
      </x:c>
    </x:row>
    <x:row r="519" ht="24" customHeight="1">
      <x:c r="A519" s="33" t="str">
        <x:v>ESCA_HSE_04_AI_IoT_Integrations_Audit_Sample_Data.xlsx</x:v>
      </x:c>
      <x:c r="B519" s="33" t="str">
        <x:v>Integrations</x:v>
      </x:c>
      <x:c r="C519" s="33" t="str">
        <x:v>owner_employee_id</x:v>
      </x:c>
      <x:c r="D519" s="33" t="str">
        <x:v>id</x:v>
      </x:c>
      <x:c r="E519" s="34" t="b">
        <x:v>1</x:v>
      </x:c>
      <x:c r="F519" s="33" t="str">
        <x:v>FK -&gt; Employees.employee_id</x:v>
      </x:c>
      <x:c r="G519" s="50" t="str">
        <x:v>Owner</x:v>
      </x:c>
      <x:c r="H519" s="33" t="str">
        <x:v>EMP-007</x:v>
      </x:c>
      <x:c r="I519" s="50" t="str"/>
      <x:c r="J519" s="33" t="str">
        <x:v>INTERNAL_SAMPLE</x:v>
      </x:c>
      <x:c r="K519" s="33" t="str">
        <x:v>Member 2</x:v>
      </x:c>
    </x:row>
    <x:row r="520" ht="24" customHeight="1">
      <x:c r="A520" s="33" t="str">
        <x:v>ESCA_HSE_04_AI_IoT_Integrations_Audit_Sample_Data.xlsx</x:v>
      </x:c>
      <x:c r="B520" s="33" t="str">
        <x:v>API_Logs</x:v>
      </x:c>
      <x:c r="C520" s="33" t="str">
        <x:v>api_log_id</x:v>
      </x:c>
      <x:c r="D520" s="33" t="str">
        <x:v>id</x:v>
      </x:c>
      <x:c r="E520" s="34" t="b">
        <x:v>1</x:v>
      </x:c>
      <x:c r="F520" s="33" t="str">
        <x:v>PK</x:v>
      </x:c>
      <x:c r="G520" s="50" t="str">
        <x:v>API log identifier</x:v>
      </x:c>
      <x:c r="H520" s="33" t="str">
        <x:v>API-0001</x:v>
      </x:c>
      <x:c r="I520" s="50" t="str"/>
      <x:c r="J520" s="33" t="str">
        <x:v>INTERNAL_SAMPLE</x:v>
      </x:c>
      <x:c r="K520" s="33" t="str">
        <x:v>Member 2</x:v>
      </x:c>
    </x:row>
    <x:row r="521" ht="24" customHeight="1">
      <x:c r="A521" s="33" t="str">
        <x:v>ESCA_HSE_04_AI_IoT_Integrations_Audit_Sample_Data.xlsx</x:v>
      </x:c>
      <x:c r="B521" s="33" t="str">
        <x:v>API_Logs</x:v>
      </x:c>
      <x:c r="C521" s="33" t="str">
        <x:v>integration_id</x:v>
      </x:c>
      <x:c r="D521" s="33" t="str">
        <x:v>id</x:v>
      </x:c>
      <x:c r="E521" s="34" t="b">
        <x:v>1</x:v>
      </x:c>
      <x:c r="F521" s="33" t="str">
        <x:v>FK -&gt; Integrations.integration_id</x:v>
      </x:c>
      <x:c r="G521" s="50" t="str">
        <x:v>Integration</x:v>
      </x:c>
      <x:c r="H521" s="33" t="str">
        <x:v>INT-D365</x:v>
      </x:c>
      <x:c r="I521" s="50" t="str"/>
      <x:c r="J521" s="33" t="str">
        <x:v>INTERNAL_SAMPLE</x:v>
      </x:c>
      <x:c r="K521" s="33" t="str">
        <x:v>Member 2</x:v>
      </x:c>
    </x:row>
    <x:row r="522" ht="24" customHeight="1">
      <x:c r="A522" s="33" t="str">
        <x:v>ESCA_HSE_04_AI_IoT_Integrations_Audit_Sample_Data.xlsx</x:v>
      </x:c>
      <x:c r="B522" s="33" t="str">
        <x:v>API_Logs</x:v>
      </x:c>
      <x:c r="C522" s="33" t="str">
        <x:v>occurred_at</x:v>
      </x:c>
      <x:c r="D522" s="33" t="str">
        <x:v>datetime</x:v>
      </x:c>
      <x:c r="E522" s="34" t="b">
        <x:v>1</x:v>
      </x:c>
      <x:c r="F522" s="33" t="str"/>
      <x:c r="G522" s="50" t="str">
        <x:v>Request timestamp</x:v>
      </x:c>
      <x:c r="H522" s="33" t="n">
        <x:v>46247.32083333333</x:v>
      </x:c>
      <x:c r="I522" s="50" t="str"/>
      <x:c r="J522" s="33" t="str">
        <x:v>INTERNAL_SAMPLE</x:v>
      </x:c>
      <x:c r="K522" s="33" t="str">
        <x:v>Member 2</x:v>
      </x:c>
    </x:row>
    <x:row r="523" ht="24" customHeight="1">
      <x:c r="A523" s="33" t="str">
        <x:v>ESCA_HSE_04_AI_IoT_Integrations_Audit_Sample_Data.xlsx</x:v>
      </x:c>
      <x:c r="B523" s="33" t="str">
        <x:v>API_Logs</x:v>
      </x:c>
      <x:c r="C523" s="33" t="str">
        <x:v>method</x:v>
      </x:c>
      <x:c r="D523" s="33" t="str">
        <x:v>enum</x:v>
      </x:c>
      <x:c r="E523" s="34" t="b">
        <x:v>1</x:v>
      </x:c>
      <x:c r="F523" s="33" t="str"/>
      <x:c r="G523" s="50" t="str">
        <x:v>HTTP method</x:v>
      </x:c>
      <x:c r="H523" s="33" t="str">
        <x:v>GET</x:v>
      </x:c>
      <x:c r="I523" s="50" t="str">
        <x:v>GET | POST | PUT | PATCH | DELETE</x:v>
      </x:c>
      <x:c r="J523" s="33" t="str">
        <x:v>INTERNAL_SAMPLE</x:v>
      </x:c>
      <x:c r="K523" s="33" t="str">
        <x:v>Member 2</x:v>
      </x:c>
    </x:row>
    <x:row r="524" ht="24" customHeight="1">
      <x:c r="A524" s="33" t="str">
        <x:v>ESCA_HSE_04_AI_IoT_Integrations_Audit_Sample_Data.xlsx</x:v>
      </x:c>
      <x:c r="B524" s="33" t="str">
        <x:v>API_Logs</x:v>
      </x:c>
      <x:c r="C524" s="33" t="str">
        <x:v>endpoint</x:v>
      </x:c>
      <x:c r="D524" s="33" t="str">
        <x:v>text</x:v>
      </x:c>
      <x:c r="E524" s="34" t="b">
        <x:v>1</x:v>
      </x:c>
      <x:c r="F524" s="33" t="str"/>
      <x:c r="G524" s="50" t="str">
        <x:v>API endpoint</x:v>
      </x:c>
      <x:c r="H524" s="33" t="str">
        <x:v>/api/v1/equipment/sync</x:v>
      </x:c>
      <x:c r="I524" s="50" t="str"/>
      <x:c r="J524" s="33" t="str">
        <x:v>INTERNAL_SAMPLE</x:v>
      </x:c>
      <x:c r="K524" s="33" t="str">
        <x:v>Member 2</x:v>
      </x:c>
    </x:row>
    <x:row r="525" ht="24" customHeight="1">
      <x:c r="A525" s="33" t="str">
        <x:v>ESCA_HSE_04_AI_IoT_Integrations_Audit_Sample_Data.xlsx</x:v>
      </x:c>
      <x:c r="B525" s="33" t="str">
        <x:v>API_Logs</x:v>
      </x:c>
      <x:c r="C525" s="33" t="str">
        <x:v>status_code</x:v>
      </x:c>
      <x:c r="D525" s="33" t="str">
        <x:v>integer</x:v>
      </x:c>
      <x:c r="E525" s="34" t="b">
        <x:v>1</x:v>
      </x:c>
      <x:c r="F525" s="33" t="str"/>
      <x:c r="G525" s="50" t="str">
        <x:v>HTTP status</x:v>
      </x:c>
      <x:c r="H525" s="33" t="str">
        <x:v>200</x:v>
      </x:c>
      <x:c r="I525" s="50" t="str"/>
      <x:c r="J525" s="33" t="str">
        <x:v>INTERNAL_SAMPLE</x:v>
      </x:c>
      <x:c r="K525" s="33" t="str">
        <x:v>Member 2</x:v>
      </x:c>
    </x:row>
    <x:row r="526" ht="24" customHeight="1">
      <x:c r="A526" s="33" t="str">
        <x:v>ESCA_HSE_04_AI_IoT_Integrations_Audit_Sample_Data.xlsx</x:v>
      </x:c>
      <x:c r="B526" s="33" t="str">
        <x:v>API_Logs</x:v>
      </x:c>
      <x:c r="C526" s="33" t="str">
        <x:v>response_ms</x:v>
      </x:c>
      <x:c r="D526" s="33" t="str">
        <x:v>integer</x:v>
      </x:c>
      <x:c r="E526" s="34" t="b">
        <x:v>1</x:v>
      </x:c>
      <x:c r="F526" s="33" t="str"/>
      <x:c r="G526" s="50" t="str">
        <x:v>Response duration ms</x:v>
      </x:c>
      <x:c r="H526" s="33" t="str">
        <x:v>184</x:v>
      </x:c>
      <x:c r="I526" s="50" t="str"/>
      <x:c r="J526" s="33" t="str">
        <x:v>INTERNAL_SAMPLE</x:v>
      </x:c>
      <x:c r="K526" s="33" t="str">
        <x:v>Member 2</x:v>
      </x:c>
    </x:row>
    <x:row r="527" ht="24" customHeight="1">
      <x:c r="A527" s="33" t="str">
        <x:v>ESCA_HSE_04_AI_IoT_Integrations_Audit_Sample_Data.xlsx</x:v>
      </x:c>
      <x:c r="B527" s="33" t="str">
        <x:v>API_Logs</x:v>
      </x:c>
      <x:c r="C527" s="33" t="str">
        <x:v>retry_count</x:v>
      </x:c>
      <x:c r="D527" s="33" t="str">
        <x:v>integer</x:v>
      </x:c>
      <x:c r="E527" s="34" t="b">
        <x:v>1</x:v>
      </x:c>
      <x:c r="F527" s="33" t="str"/>
      <x:c r="G527" s="50" t="str">
        <x:v>Retry attempt count</x:v>
      </x:c>
      <x:c r="H527" s="33" t="str">
        <x:v>0</x:v>
      </x:c>
      <x:c r="I527" s="50" t="str"/>
      <x:c r="J527" s="33" t="str">
        <x:v>INTERNAL_SAMPLE</x:v>
      </x:c>
      <x:c r="K527" s="33" t="str">
        <x:v>Member 2</x:v>
      </x:c>
    </x:row>
    <x:row r="528" ht="24" customHeight="1">
      <x:c r="A528" s="33" t="str">
        <x:v>ESCA_HSE_04_AI_IoT_Integrations_Audit_Sample_Data.xlsx</x:v>
      </x:c>
      <x:c r="B528" s="33" t="str">
        <x:v>API_Logs</x:v>
      </x:c>
      <x:c r="C528" s="33" t="str">
        <x:v>outcome</x:v>
      </x:c>
      <x:c r="D528" s="33" t="str">
        <x:v>enum</x:v>
      </x:c>
      <x:c r="E528" s="34" t="b">
        <x:v>1</x:v>
      </x:c>
      <x:c r="F528" s="33" t="str"/>
      <x:c r="G528" s="50" t="str">
        <x:v>Request outcome</x:v>
      </x:c>
      <x:c r="H528" s="33" t="str">
        <x:v>SUCCESS</x:v>
      </x:c>
      <x:c r="I528" s="50" t="str"/>
      <x:c r="J528" s="33" t="str">
        <x:v>INTERNAL_SAMPLE</x:v>
      </x:c>
      <x:c r="K528" s="33" t="str">
        <x:v>Member 2</x:v>
      </x:c>
    </x:row>
    <x:row r="529" ht="24" customHeight="1">
      <x:c r="A529" s="33" t="str">
        <x:v>ESCA_HSE_04_AI_IoT_Integrations_Audit_Sample_Data.xlsx</x:v>
      </x:c>
      <x:c r="B529" s="33" t="str">
        <x:v>API_Logs</x:v>
      </x:c>
      <x:c r="C529" s="33" t="str">
        <x:v>correlation_id</x:v>
      </x:c>
      <x:c r="D529" s="33" t="str">
        <x:v>id</x:v>
      </x:c>
      <x:c r="E529" s="34" t="b">
        <x:v>1</x:v>
      </x:c>
      <x:c r="F529" s="33" t="str"/>
      <x:c r="G529" s="50" t="str">
        <x:v>Trace correlation identifier</x:v>
      </x:c>
      <x:c r="H529" s="33" t="str">
        <x:v>CORR-API-0001</x:v>
      </x:c>
      <x:c r="I529" s="50" t="str"/>
      <x:c r="J529" s="33" t="str">
        <x:v>INTERNAL_SAMPLE</x:v>
      </x:c>
      <x:c r="K529" s="33" t="str">
        <x:v>Member 2</x:v>
      </x:c>
    </x:row>
    <x:row r="530" ht="24" customHeight="1">
      <x:c r="A530" s="33" t="str">
        <x:v>ESCA_HSE_04_AI_IoT_Integrations_Audit_Sample_Data.xlsx</x:v>
      </x:c>
      <x:c r="B530" s="33" t="str">
        <x:v>Integration_Outbox</x:v>
      </x:c>
      <x:c r="C530" s="33" t="str">
        <x:v>outbox_id</x:v>
      </x:c>
      <x:c r="D530" s="33" t="str">
        <x:v>id</x:v>
      </x:c>
      <x:c r="E530" s="34" t="b">
        <x:v>1</x:v>
      </x:c>
      <x:c r="F530" s="33" t="str">
        <x:v>PK</x:v>
      </x:c>
      <x:c r="G530" s="50" t="str">
        <x:v>Outbox event</x:v>
      </x:c>
      <x:c r="H530" s="33" t="str">
        <x:v>OBX-001</x:v>
      </x:c>
      <x:c r="I530" s="50" t="str"/>
      <x:c r="J530" s="33" t="str">
        <x:v>INTERNAL_SAMPLE</x:v>
      </x:c>
      <x:c r="K530" s="33" t="str">
        <x:v>Member 2</x:v>
      </x:c>
    </x:row>
    <x:row r="531" ht="24" customHeight="1">
      <x:c r="A531" s="33" t="str">
        <x:v>ESCA_HSE_04_AI_IoT_Integrations_Audit_Sample_Data.xlsx</x:v>
      </x:c>
      <x:c r="B531" s="33" t="str">
        <x:v>Integration_Outbox</x:v>
      </x:c>
      <x:c r="C531" s="33" t="str">
        <x:v>created_at</x:v>
      </x:c>
      <x:c r="D531" s="33" t="str">
        <x:v>datetime</x:v>
      </x:c>
      <x:c r="E531" s="34" t="b">
        <x:v>1</x:v>
      </x:c>
      <x:c r="F531" s="33" t="str"/>
      <x:c r="G531" s="50" t="str">
        <x:v>Event creation</x:v>
      </x:c>
      <x:c r="H531" s="33" t="n">
        <x:v>46247.1875</x:v>
      </x:c>
      <x:c r="I531" s="50" t="str"/>
      <x:c r="J531" s="33" t="str">
        <x:v>INTERNAL_SAMPLE</x:v>
      </x:c>
      <x:c r="K531" s="33" t="str">
        <x:v>Member 2</x:v>
      </x:c>
    </x:row>
    <x:row r="532" ht="24" customHeight="1">
      <x:c r="A532" s="33" t="str">
        <x:v>ESCA_HSE_04_AI_IoT_Integrations_Audit_Sample_Data.xlsx</x:v>
      </x:c>
      <x:c r="B532" s="33" t="str">
        <x:v>Integration_Outbox</x:v>
      </x:c>
      <x:c r="C532" s="33" t="str">
        <x:v>aggregate_type</x:v>
      </x:c>
      <x:c r="D532" s="33" t="str">
        <x:v>enum</x:v>
      </x:c>
      <x:c r="E532" s="34" t="b">
        <x:v>1</x:v>
      </x:c>
      <x:c r="F532" s="33" t="str"/>
      <x:c r="G532" s="50" t="str">
        <x:v>Source aggregate</x:v>
      </x:c>
      <x:c r="H532" s="33" t="str">
        <x:v>PERMIT</x:v>
      </x:c>
      <x:c r="I532" s="50" t="str"/>
      <x:c r="J532" s="33" t="str">
        <x:v>INTERNAL_SAMPLE</x:v>
      </x:c>
      <x:c r="K532" s="33" t="str">
        <x:v>Member 2</x:v>
      </x:c>
    </x:row>
    <x:row r="533" ht="24" customHeight="1">
      <x:c r="A533" s="33" t="str">
        <x:v>ESCA_HSE_04_AI_IoT_Integrations_Audit_Sample_Data.xlsx</x:v>
      </x:c>
      <x:c r="B533" s="33" t="str">
        <x:v>Integration_Outbox</x:v>
      </x:c>
      <x:c r="C533" s="33" t="str">
        <x:v>aggregate_id</x:v>
      </x:c>
      <x:c r="D533" s="33" t="str">
        <x:v>id</x:v>
      </x:c>
      <x:c r="E533" s="34" t="b">
        <x:v>1</x:v>
      </x:c>
      <x:c r="F533" s="33" t="str"/>
      <x:c r="G533" s="50" t="str">
        <x:v>Source entity ID</x:v>
      </x:c>
      <x:c r="H533" s="33" t="str">
        <x:v>PTW-2026-0412</x:v>
      </x:c>
      <x:c r="I533" s="50" t="str"/>
      <x:c r="J533" s="33" t="str">
        <x:v>INTERNAL_SAMPLE</x:v>
      </x:c>
      <x:c r="K533" s="33" t="str">
        <x:v>Member 2</x:v>
      </x:c>
    </x:row>
    <x:row r="534" ht="24" customHeight="1">
      <x:c r="A534" s="33" t="str">
        <x:v>ESCA_HSE_04_AI_IoT_Integrations_Audit_Sample_Data.xlsx</x:v>
      </x:c>
      <x:c r="B534" s="33" t="str">
        <x:v>Integration_Outbox</x:v>
      </x:c>
      <x:c r="C534" s="33" t="str">
        <x:v>event_type</x:v>
      </x:c>
      <x:c r="D534" s="33" t="str">
        <x:v>enum</x:v>
      </x:c>
      <x:c r="E534" s="34" t="b">
        <x:v>1</x:v>
      </x:c>
      <x:c r="F534" s="33" t="str"/>
      <x:c r="G534" s="50" t="str">
        <x:v>Integration event</x:v>
      </x:c>
      <x:c r="H534" s="33" t="str">
        <x:v>PERMIT_WORKORDER_LINKED</x:v>
      </x:c>
      <x:c r="I534" s="50" t="str"/>
      <x:c r="J534" s="33" t="str">
        <x:v>INTERNAL_SAMPLE</x:v>
      </x:c>
      <x:c r="K534" s="33" t="str">
        <x:v>Member 2</x:v>
      </x:c>
    </x:row>
    <x:row r="535" ht="24" customHeight="1">
      <x:c r="A535" s="33" t="str">
        <x:v>ESCA_HSE_04_AI_IoT_Integrations_Audit_Sample_Data.xlsx</x:v>
      </x:c>
      <x:c r="B535" s="33" t="str">
        <x:v>Integration_Outbox</x:v>
      </x:c>
      <x:c r="C535" s="33" t="str">
        <x:v>destination_integration_id</x:v>
      </x:c>
      <x:c r="D535" s="33" t="str">
        <x:v>id</x:v>
      </x:c>
      <x:c r="E535" s="34" t="b">
        <x:v>1</x:v>
      </x:c>
      <x:c r="F535" s="33" t="str">
        <x:v>FK -&gt; Integrations.integration_id</x:v>
      </x:c>
      <x:c r="G535" s="50" t="str">
        <x:v>Destination</x:v>
      </x:c>
      <x:c r="H535" s="33" t="str">
        <x:v>INT-D365</x:v>
      </x:c>
      <x:c r="I535" s="50" t="str"/>
      <x:c r="J535" s="33" t="str">
        <x:v>INTERNAL_SAMPLE</x:v>
      </x:c>
      <x:c r="K535" s="33" t="str">
        <x:v>Member 2</x:v>
      </x:c>
    </x:row>
    <x:row r="536" ht="24" customHeight="1">
      <x:c r="A536" s="33" t="str">
        <x:v>ESCA_HSE_04_AI_IoT_Integrations_Audit_Sample_Data.xlsx</x:v>
      </x:c>
      <x:c r="B536" s="33" t="str">
        <x:v>Integration_Outbox</x:v>
      </x:c>
      <x:c r="C536" s="33" t="str">
        <x:v>status</x:v>
      </x:c>
      <x:c r="D536" s="33" t="str">
        <x:v>enum</x:v>
      </x:c>
      <x:c r="E536" s="34" t="b">
        <x:v>1</x:v>
      </x:c>
      <x:c r="F536" s="33" t="str"/>
      <x:c r="G536" s="50" t="str">
        <x:v>Outbox state</x:v>
      </x:c>
      <x:c r="H536" s="33" t="str">
        <x:v>PROCESSED</x:v>
      </x:c>
      <x:c r="I536" s="50" t="str">
        <x:v>PENDING | PROCESSING | PROCESSED | RETRY_SCHEDULED | DEAD_LETTER | CANCELLED</x:v>
      </x:c>
      <x:c r="J536" s="33" t="str">
        <x:v>INTERNAL_SAMPLE</x:v>
      </x:c>
      <x:c r="K536" s="33" t="str">
        <x:v>Member 2</x:v>
      </x:c>
    </x:row>
    <x:row r="537" ht="24" customHeight="1">
      <x:c r="A537" s="33" t="str">
        <x:v>ESCA_HSE_04_AI_IoT_Integrations_Audit_Sample_Data.xlsx</x:v>
      </x:c>
      <x:c r="B537" s="33" t="str">
        <x:v>Integration_Outbox</x:v>
      </x:c>
      <x:c r="C537" s="33" t="str">
        <x:v>attempt_count</x:v>
      </x:c>
      <x:c r="D537" s="33" t="str">
        <x:v>integer</x:v>
      </x:c>
      <x:c r="E537" s="34" t="b">
        <x:v>1</x:v>
      </x:c>
      <x:c r="F537" s="33" t="str"/>
      <x:c r="G537" s="50" t="str">
        <x:v>Send attempts</x:v>
      </x:c>
      <x:c r="H537" s="33" t="str">
        <x:v>1</x:v>
      </x:c>
      <x:c r="I537" s="50" t="str"/>
      <x:c r="J537" s="33" t="str">
        <x:v>INTERNAL_SAMPLE</x:v>
      </x:c>
      <x:c r="K537" s="33" t="str">
        <x:v>Member 2</x:v>
      </x:c>
    </x:row>
    <x:row r="538" ht="24" customHeight="1">
      <x:c r="A538" s="33" t="str">
        <x:v>ESCA_HSE_04_AI_IoT_Integrations_Audit_Sample_Data.xlsx</x:v>
      </x:c>
      <x:c r="B538" s="33" t="str">
        <x:v>Integration_Outbox</x:v>
      </x:c>
      <x:c r="C538" s="33" t="str">
        <x:v>next_retry_at</x:v>
      </x:c>
      <x:c r="D538" s="33" t="str">
        <x:v>datetime</x:v>
      </x:c>
      <x:c r="E538" s="34" t="b">
        <x:v>0</x:v>
      </x:c>
      <x:c r="F538" s="33" t="str"/>
      <x:c r="G538" s="50" t="str">
        <x:v>Next retry</x:v>
      </x:c>
      <x:c r="H538" s="33" t="n">
        <x:v>46247.395833333336</x:v>
      </x:c>
      <x:c r="I538" s="50" t="str"/>
      <x:c r="J538" s="33" t="str">
        <x:v>INTERNAL_SAMPLE</x:v>
      </x:c>
      <x:c r="K538" s="33" t="str">
        <x:v>Member 2</x:v>
      </x:c>
    </x:row>
    <x:row r="539" ht="24" customHeight="1">
      <x:c r="A539" s="33" t="str">
        <x:v>ESCA_HSE_04_AI_IoT_Integrations_Audit_Sample_Data.xlsx</x:v>
      </x:c>
      <x:c r="B539" s="33" t="str">
        <x:v>Integration_Outbox</x:v>
      </x:c>
      <x:c r="C539" s="33" t="str">
        <x:v>processed_at</x:v>
      </x:c>
      <x:c r="D539" s="33" t="str">
        <x:v>datetime</x:v>
      </x:c>
      <x:c r="E539" s="34" t="b">
        <x:v>0</x:v>
      </x:c>
      <x:c r="F539" s="33" t="str"/>
      <x:c r="G539" s="50" t="str">
        <x:v>Processing completion</x:v>
      </x:c>
      <x:c r="H539" s="33" t="n">
        <x:v>46247.19515046296</x:v>
      </x:c>
      <x:c r="I539" s="50" t="str"/>
      <x:c r="J539" s="33" t="str">
        <x:v>INTERNAL_SAMPLE</x:v>
      </x:c>
      <x:c r="K539" s="33" t="str">
        <x:v>Member 2</x:v>
      </x:c>
    </x:row>
    <x:row r="540" ht="24" customHeight="1">
      <x:c r="A540" s="33" t="str">
        <x:v>ESCA_HSE_04_AI_IoT_Integrations_Audit_Sample_Data.xlsx</x:v>
      </x:c>
      <x:c r="B540" s="33" t="str">
        <x:v>Integration_Outbox</x:v>
      </x:c>
      <x:c r="C540" s="33" t="str">
        <x:v>correlation_id</x:v>
      </x:c>
      <x:c r="D540" s="33" t="str">
        <x:v>id</x:v>
      </x:c>
      <x:c r="E540" s="34" t="b">
        <x:v>1</x:v>
      </x:c>
      <x:c r="F540" s="33" t="str"/>
      <x:c r="G540" s="50" t="str">
        <x:v>Trace ID</x:v>
      </x:c>
      <x:c r="H540" s="33" t="str">
        <x:v>CORR-OBX-001</x:v>
      </x:c>
      <x:c r="I540" s="50" t="str"/>
      <x:c r="J540" s="33" t="str">
        <x:v>INTERNAL_SAMPLE</x:v>
      </x:c>
      <x:c r="K540" s="33" t="str">
        <x:v>Member 2</x:v>
      </x:c>
    </x:row>
    <x:row r="541" ht="24" customHeight="1">
      <x:c r="A541" s="33" t="str">
        <x:v>ESCA_HSE_04_AI_IoT_Integrations_Audit_Sample_Data.xlsx</x:v>
      </x:c>
      <x:c r="B541" s="33" t="str">
        <x:v>Integration_Outbox</x:v>
      </x:c>
      <x:c r="C541" s="33" t="str">
        <x:v>idempotency_key</x:v>
      </x:c>
      <x:c r="D541" s="33" t="str">
        <x:v>text</x:v>
      </x:c>
      <x:c r="E541" s="34" t="b">
        <x:v>1</x:v>
      </x:c>
      <x:c r="F541" s="33" t="str"/>
      <x:c r="G541" s="50" t="str">
        <x:v>Deduplication key</x:v>
      </x:c>
      <x:c r="H541" s="33" t="str">
        <x:v>permit_workorder_linked:PTW-2026-0412</x:v>
      </x:c>
      <x:c r="I541" s="50" t="str"/>
      <x:c r="J541" s="33" t="str">
        <x:v>INTERNAL_SAMPLE</x:v>
      </x:c>
      <x:c r="K541" s="33" t="str">
        <x:v>Member 2</x:v>
      </x:c>
    </x:row>
    <x:row r="542" ht="24" customHeight="1">
      <x:c r="A542" s="33" t="str">
        <x:v>ESCA_HSE_04_AI_IoT_Integrations_Audit_Sample_Data.xlsx</x:v>
      </x:c>
      <x:c r="B542" s="33" t="str">
        <x:v>Integration_Outbox</x:v>
      </x:c>
      <x:c r="C542" s="33" t="str">
        <x:v>last_error</x:v>
      </x:c>
      <x:c r="D542" s="33" t="str">
        <x:v>text</x:v>
      </x:c>
      <x:c r="E542" s="34" t="b">
        <x:v>0</x:v>
      </x:c>
      <x:c r="F542" s="33" t="str"/>
      <x:c r="G542" s="50" t="str">
        <x:v>Non-sensitive error</x:v>
      </x:c>
      <x:c r="H542" s="33" t="str">
        <x:v>D365_TEMPORARY_FAILURE</x:v>
      </x:c>
      <x:c r="I542" s="50" t="str"/>
      <x:c r="J542" s="33" t="str">
        <x:v>INTERNAL_SAMPLE</x:v>
      </x:c>
      <x:c r="K542" s="33" t="str">
        <x:v>Member 2</x:v>
      </x:c>
    </x:row>
    <x:row r="543" ht="24" customHeight="1">
      <x:c r="A543" s="33" t="str">
        <x:v>ESCA_HSE_04_AI_IoT_Integrations_Audit_Sample_Data.xlsx</x:v>
      </x:c>
      <x:c r="B543" s="33" t="str">
        <x:v>QA_Sessions</x:v>
      </x:c>
      <x:c r="C543" s="33" t="str">
        <x:v>session_id</x:v>
      </x:c>
      <x:c r="D543" s="33" t="str">
        <x:v>id</x:v>
      </x:c>
      <x:c r="E543" s="34" t="b">
        <x:v>1</x:v>
      </x:c>
      <x:c r="F543" s="33" t="str">
        <x:v>PK</x:v>
      </x:c>
      <x:c r="G543" s="50" t="str">
        <x:v>Admin Q&amp;A session</x:v>
      </x:c>
      <x:c r="H543" s="33" t="str">
        <x:v>QAS-001</x:v>
      </x:c>
      <x:c r="I543" s="50" t="str"/>
      <x:c r="J543" s="33" t="str">
        <x:v>CONFIDENTIAL_SECURITY</x:v>
      </x:c>
      <x:c r="K543" s="33" t="str">
        <x:v>Member 5</x:v>
      </x:c>
    </x:row>
    <x:row r="544" ht="24" customHeight="1">
      <x:c r="A544" s="33" t="str">
        <x:v>ESCA_HSE_04_AI_IoT_Integrations_Audit_Sample_Data.xlsx</x:v>
      </x:c>
      <x:c r="B544" s="33" t="str">
        <x:v>QA_Sessions</x:v>
      </x:c>
      <x:c r="C544" s="33" t="str">
        <x:v>admin_user_id</x:v>
      </x:c>
      <x:c r="D544" s="33" t="str">
        <x:v>id</x:v>
      </x:c>
      <x:c r="E544" s="34" t="b">
        <x:v>1</x:v>
      </x:c>
      <x:c r="F544" s="33" t="str">
        <x:v>FK -&gt; Users.user_id</x:v>
      </x:c>
      <x:c r="G544" s="50" t="str">
        <x:v>Authorized admin user</x:v>
      </x:c>
      <x:c r="H544" s="33" t="str">
        <x:v>USR-008</x:v>
      </x:c>
      <x:c r="I544" s="50" t="str"/>
      <x:c r="J544" s="33" t="str">
        <x:v>CONFIDENTIAL_SECURITY</x:v>
      </x:c>
      <x:c r="K544" s="33" t="str">
        <x:v>Member 5</x:v>
      </x:c>
    </x:row>
    <x:row r="545" ht="24" customHeight="1">
      <x:c r="A545" s="33" t="str">
        <x:v>ESCA_HSE_04_AI_IoT_Integrations_Audit_Sample_Data.xlsx</x:v>
      </x:c>
      <x:c r="B545" s="33" t="str">
        <x:v>QA_Sessions</x:v>
      </x:c>
      <x:c r="C545" s="33" t="str">
        <x:v>started_at</x:v>
      </x:c>
      <x:c r="D545" s="33" t="str">
        <x:v>datetime</x:v>
      </x:c>
      <x:c r="E545" s="34" t="b">
        <x:v>1</x:v>
      </x:c>
      <x:c r="F545" s="33" t="str"/>
      <x:c r="G545" s="50" t="str">
        <x:v>Session start</x:v>
      </x:c>
      <x:c r="H545" s="33" t="n">
        <x:v>46247.25</x:v>
      </x:c>
      <x:c r="I545" s="50" t="str"/>
      <x:c r="J545" s="33" t="str">
        <x:v>CONFIDENTIAL_SECURITY</x:v>
      </x:c>
      <x:c r="K545" s="33" t="str">
        <x:v>Member 5</x:v>
      </x:c>
    </x:row>
    <x:row r="546" ht="24" customHeight="1">
      <x:c r="A546" s="33" t="str">
        <x:v>ESCA_HSE_04_AI_IoT_Integrations_Audit_Sample_Data.xlsx</x:v>
      </x:c>
      <x:c r="B546" s="33" t="str">
        <x:v>QA_Sessions</x:v>
      </x:c>
      <x:c r="C546" s="33" t="str">
        <x:v>ended_at</x:v>
      </x:c>
      <x:c r="D546" s="33" t="str">
        <x:v>datetime</x:v>
      </x:c>
      <x:c r="E546" s="34" t="b">
        <x:v>0</x:v>
      </x:c>
      <x:c r="F546" s="33" t="str"/>
      <x:c r="G546" s="50" t="str">
        <x:v>Session end</x:v>
      </x:c>
      <x:c r="H546" s="33" t="n">
        <x:v>46247.25555555556</x:v>
      </x:c>
      <x:c r="I546" s="50" t="str"/>
      <x:c r="J546" s="33" t="str">
        <x:v>CONFIDENTIAL_SECURITY</x:v>
      </x:c>
      <x:c r="K546" s="33" t="str">
        <x:v>Member 5</x:v>
      </x:c>
    </x:row>
    <x:row r="547" ht="24" customHeight="1">
      <x:c r="A547" s="33" t="str">
        <x:v>ESCA_HSE_04_AI_IoT_Integrations_Audit_Sample_Data.xlsx</x:v>
      </x:c>
      <x:c r="B547" s="33" t="str">
        <x:v>QA_Sessions</x:v>
      </x:c>
      <x:c r="C547" s="33" t="str">
        <x:v>status</x:v>
      </x:c>
      <x:c r="D547" s="33" t="str">
        <x:v>enum</x:v>
      </x:c>
      <x:c r="E547" s="34" t="b">
        <x:v>1</x:v>
      </x:c>
      <x:c r="F547" s="33" t="str"/>
      <x:c r="G547" s="50" t="str">
        <x:v>Session state</x:v>
      </x:c>
      <x:c r="H547" s="33" t="str">
        <x:v>CLOSED</x:v>
      </x:c>
      <x:c r="I547" s="50" t="str">
        <x:v>ACTIVE | CLOSED | DENIED</x:v>
      </x:c>
      <x:c r="J547" s="33" t="str">
        <x:v>CONFIDENTIAL_SECURITY</x:v>
      </x:c>
      <x:c r="K547" s="33" t="str">
        <x:v>Member 5</x:v>
      </x:c>
    </x:row>
    <x:row r="548" ht="24" customHeight="1">
      <x:c r="A548" s="33" t="str">
        <x:v>ESCA_HSE_04_AI_IoT_Integrations_Audit_Sample_Data.xlsx</x:v>
      </x:c>
      <x:c r="B548" s="33" t="str">
        <x:v>QA_Sessions</x:v>
      </x:c>
      <x:c r="C548" s="33" t="str">
        <x:v>purpose</x:v>
      </x:c>
      <x:c r="D548" s="33" t="str">
        <x:v>text</x:v>
      </x:c>
      <x:c r="E548" s="34" t="b">
        <x:v>1</x:v>
      </x:c>
      <x:c r="F548" s="33" t="str"/>
      <x:c r="G548" s="50" t="str">
        <x:v>Session purpose</x:v>
      </x:c>
      <x:c r="H548" s="33" t="str">
        <x:v>Review overdue HSE actions</x:v>
      </x:c>
      <x:c r="I548" s="50" t="str"/>
      <x:c r="J548" s="33" t="str">
        <x:v>CONFIDENTIAL_SECURITY</x:v>
      </x:c>
      <x:c r="K548" s="33" t="str">
        <x:v>Member 5</x:v>
      </x:c>
    </x:row>
    <x:row r="549" ht="24" customHeight="1">
      <x:c r="A549" s="33" t="str">
        <x:v>ESCA_HSE_04_AI_IoT_Integrations_Audit_Sample_Data.xlsx</x:v>
      </x:c>
      <x:c r="B549" s="33" t="str">
        <x:v>QA_Sessions</x:v>
      </x:c>
      <x:c r="C549" s="33" t="str">
        <x:v>sensitivity</x:v>
      </x:c>
      <x:c r="D549" s="33" t="str">
        <x:v>enum</x:v>
      </x:c>
      <x:c r="E549" s="34" t="b">
        <x:v>1</x:v>
      </x:c>
      <x:c r="F549" s="33" t="str"/>
      <x:c r="G549" s="50" t="str">
        <x:v>Highest sensitivity requested</x:v>
      </x:c>
      <x:c r="H549" s="33" t="str">
        <x:v>INTERNAL</x:v>
      </x:c>
      <x:c r="I549" s="50" t="str">
        <x:v>INTERNAL | CONFIDENTIAL | RESTRICTED</x:v>
      </x:c>
      <x:c r="J549" s="33" t="str">
        <x:v>CONFIDENTIAL_SECURITY</x:v>
      </x:c>
      <x:c r="K549" s="33" t="str">
        <x:v>Member 5</x:v>
      </x:c>
    </x:row>
    <x:row r="550" ht="24" customHeight="1">
      <x:c r="A550" s="33" t="str">
        <x:v>ESCA_HSE_04_AI_IoT_Integrations_Audit_Sample_Data.xlsx</x:v>
      </x:c>
      <x:c r="B550" s="33" t="str">
        <x:v>QA_Messages</x:v>
      </x:c>
      <x:c r="C550" s="33" t="str">
        <x:v>message_id</x:v>
      </x:c>
      <x:c r="D550" s="33" t="str">
        <x:v>id</x:v>
      </x:c>
      <x:c r="E550" s="34" t="b">
        <x:v>1</x:v>
      </x:c>
      <x:c r="F550" s="33" t="str">
        <x:v>PK</x:v>
      </x:c>
      <x:c r="G550" s="50" t="str">
        <x:v>Q&amp;A message</x:v>
      </x:c>
      <x:c r="H550" s="33" t="str">
        <x:v>QAM-0001</x:v>
      </x:c>
      <x:c r="I550" s="50" t="str"/>
      <x:c r="J550" s="33" t="str">
        <x:v>CONFIDENTIAL_SECURITY</x:v>
      </x:c>
      <x:c r="K550" s="33" t="str">
        <x:v>Member 5</x:v>
      </x:c>
    </x:row>
    <x:row r="551" ht="24" customHeight="1">
      <x:c r="A551" s="33" t="str">
        <x:v>ESCA_HSE_04_AI_IoT_Integrations_Audit_Sample_Data.xlsx</x:v>
      </x:c>
      <x:c r="B551" s="33" t="str">
        <x:v>QA_Messages</x:v>
      </x:c>
      <x:c r="C551" s="33" t="str">
        <x:v>session_id</x:v>
      </x:c>
      <x:c r="D551" s="33" t="str">
        <x:v>id</x:v>
      </x:c>
      <x:c r="E551" s="34" t="b">
        <x:v>1</x:v>
      </x:c>
      <x:c r="F551" s="33" t="str">
        <x:v>FK -&gt; QA_Sessions.session_id</x:v>
      </x:c>
      <x:c r="G551" s="50" t="str">
        <x:v>Parent session</x:v>
      </x:c>
      <x:c r="H551" s="33" t="str">
        <x:v>QAS-001</x:v>
      </x:c>
      <x:c r="I551" s="50" t="str"/>
      <x:c r="J551" s="33" t="str">
        <x:v>CONFIDENTIAL_SECURITY</x:v>
      </x:c>
      <x:c r="K551" s="33" t="str">
        <x:v>Member 5</x:v>
      </x:c>
    </x:row>
    <x:row r="552" ht="24" customHeight="1">
      <x:c r="A552" s="33" t="str">
        <x:v>ESCA_HSE_04_AI_IoT_Integrations_Audit_Sample_Data.xlsx</x:v>
      </x:c>
      <x:c r="B552" s="33" t="str">
        <x:v>QA_Messages</x:v>
      </x:c>
      <x:c r="C552" s="33" t="str">
        <x:v>message_order</x:v>
      </x:c>
      <x:c r="D552" s="33" t="str">
        <x:v>integer</x:v>
      </x:c>
      <x:c r="E552" s="34" t="b">
        <x:v>1</x:v>
      </x:c>
      <x:c r="F552" s="33" t="str"/>
      <x:c r="G552" s="50" t="str">
        <x:v>Message order</x:v>
      </x:c>
      <x:c r="H552" s="33" t="str">
        <x:v>1</x:v>
      </x:c>
      <x:c r="I552" s="50" t="str"/>
      <x:c r="J552" s="33" t="str">
        <x:v>CONFIDENTIAL_SECURITY</x:v>
      </x:c>
      <x:c r="K552" s="33" t="str">
        <x:v>Member 5</x:v>
      </x:c>
    </x:row>
    <x:row r="553" ht="24" customHeight="1">
      <x:c r="A553" s="33" t="str">
        <x:v>ESCA_HSE_04_AI_IoT_Integrations_Audit_Sample_Data.xlsx</x:v>
      </x:c>
      <x:c r="B553" s="33" t="str">
        <x:v>QA_Messages</x:v>
      </x:c>
      <x:c r="C553" s="33" t="str">
        <x:v>role</x:v>
      </x:c>
      <x:c r="D553" s="33" t="str">
        <x:v>enum</x:v>
      </x:c>
      <x:c r="E553" s="34" t="b">
        <x:v>1</x:v>
      </x:c>
      <x:c r="F553" s="33" t="str"/>
      <x:c r="G553" s="50" t="str">
        <x:v>Conversation role</x:v>
      </x:c>
      <x:c r="H553" s="33" t="str">
        <x:v>USER</x:v>
      </x:c>
      <x:c r="I553" s="50" t="str">
        <x:v>USER | ASSISTANT | SYSTEM</x:v>
      </x:c>
      <x:c r="J553" s="33" t="str">
        <x:v>CONFIDENTIAL_SECURITY</x:v>
      </x:c>
      <x:c r="K553" s="33" t="str">
        <x:v>Member 5</x:v>
      </x:c>
    </x:row>
    <x:row r="554" ht="24" customHeight="1">
      <x:c r="A554" s="33" t="str">
        <x:v>ESCA_HSE_04_AI_IoT_Integrations_Audit_Sample_Data.xlsx</x:v>
      </x:c>
      <x:c r="B554" s="33" t="str">
        <x:v>QA_Messages</x:v>
      </x:c>
      <x:c r="C554" s="33" t="str">
        <x:v>created_at</x:v>
      </x:c>
      <x:c r="D554" s="33" t="str">
        <x:v>datetime</x:v>
      </x:c>
      <x:c r="E554" s="34" t="b">
        <x:v>1</x:v>
      </x:c>
      <x:c r="F554" s="33" t="str"/>
      <x:c r="G554" s="50" t="str">
        <x:v>Message time</x:v>
      </x:c>
      <x:c r="H554" s="33" t="n">
        <x:v>46247.25069444445</x:v>
      </x:c>
      <x:c r="I554" s="50" t="str"/>
      <x:c r="J554" s="33" t="str">
        <x:v>CONFIDENTIAL_SECURITY</x:v>
      </x:c>
      <x:c r="K554" s="33" t="str">
        <x:v>Member 5</x:v>
      </x:c>
    </x:row>
    <x:row r="555" ht="24" customHeight="1">
      <x:c r="A555" s="33" t="str">
        <x:v>ESCA_HSE_04_AI_IoT_Integrations_Audit_Sample_Data.xlsx</x:v>
      </x:c>
      <x:c r="B555" s="33" t="str">
        <x:v>QA_Messages</x:v>
      </x:c>
      <x:c r="C555" s="33" t="str">
        <x:v>content</x:v>
      </x:c>
      <x:c r="D555" s="33" t="str">
        <x:v>long_text</x:v>
      </x:c>
      <x:c r="E555" s="34" t="b">
        <x:v>1</x:v>
      </x:c>
      <x:c r="F555" s="33" t="str"/>
      <x:c r="G555" s="50" t="str">
        <x:v>Synthetic prompt/answer content</x:v>
      </x:c>
      <x:c r="H555" s="33" t="str">
        <x:v>Show overdue CAPAs and their owners.</x:v>
      </x:c>
      <x:c r="I555" s="50" t="str"/>
      <x:c r="J555" s="33" t="str">
        <x:v>CONFIDENTIAL_SECURITY</x:v>
      </x:c>
      <x:c r="K555" s="33" t="str">
        <x:v>Member 5</x:v>
      </x:c>
    </x:row>
    <x:row r="556" ht="24" customHeight="1">
      <x:c r="A556" s="33" t="str">
        <x:v>ESCA_HSE_04_AI_IoT_Integrations_Audit_Sample_Data.xlsx</x:v>
      </x:c>
      <x:c r="B556" s="33" t="str">
        <x:v>QA_Messages</x:v>
      </x:c>
      <x:c r="C556" s="33" t="str">
        <x:v>source_count</x:v>
      </x:c>
      <x:c r="D556" s="33" t="str">
        <x:v>integer</x:v>
      </x:c>
      <x:c r="E556" s="34" t="b">
        <x:v>0</x:v>
      </x:c>
      <x:c r="F556" s="33" t="str"/>
      <x:c r="G556" s="50" t="str">
        <x:v>Sources or records cited</x:v>
      </x:c>
      <x:c r="H556" s="33" t="str">
        <x:v>5</x:v>
      </x:c>
      <x:c r="I556" s="50" t="str"/>
      <x:c r="J556" s="33" t="str">
        <x:v>CONFIDENTIAL_SECURITY</x:v>
      </x:c>
      <x:c r="K556" s="33" t="str">
        <x:v>Member 5</x:v>
      </x:c>
    </x:row>
    <x:row r="557" ht="24" customHeight="1">
      <x:c r="A557" s="33" t="str">
        <x:v>ESCA_HSE_04_AI_IoT_Integrations_Audit_Sample_Data.xlsx</x:v>
      </x:c>
      <x:c r="B557" s="33" t="str">
        <x:v>QA_Messages</x:v>
      </x:c>
      <x:c r="C557" s="33" t="str">
        <x:v>safety_flag</x:v>
      </x:c>
      <x:c r="D557" s="33" t="str">
        <x:v>enum</x:v>
      </x:c>
      <x:c r="E557" s="34" t="b">
        <x:v>1</x:v>
      </x:c>
      <x:c r="F557" s="33" t="str"/>
      <x:c r="G557" s="50" t="str">
        <x:v>Safety/policy classification</x:v>
      </x:c>
      <x:c r="H557" s="33" t="str">
        <x:v>SAFE</x:v>
      </x:c>
      <x:c r="I557" s="50" t="str">
        <x:v>SAFE | RESTRICTED_REQUEST | POLICY_BLOCK</x:v>
      </x:c>
      <x:c r="J557" s="33" t="str">
        <x:v>CONFIDENTIAL_SECURITY</x:v>
      </x:c>
      <x:c r="K557" s="33" t="str">
        <x:v>Member 5</x:v>
      </x:c>
    </x:row>
    <x:row r="558" ht="24" customHeight="1">
      <x:c r="A558" s="33" t="str">
        <x:v>ESCA_HSE_04_AI_IoT_Integrations_Audit_Sample_Data.xlsx</x:v>
      </x:c>
      <x:c r="B558" s="33" t="str">
        <x:v>QA_Messages</x:v>
      </x:c>
      <x:c r="C558" s="33" t="str">
        <x:v>status</x:v>
      </x:c>
      <x:c r="D558" s="33" t="str">
        <x:v>enum</x:v>
      </x:c>
      <x:c r="E558" s="34" t="b">
        <x:v>1</x:v>
      </x:c>
      <x:c r="F558" s="33" t="str"/>
      <x:c r="G558" s="50" t="str">
        <x:v>Message outcome</x:v>
      </x:c>
      <x:c r="H558" s="33" t="str">
        <x:v>COMPLETED</x:v>
      </x:c>
      <x:c r="I558" s="50" t="str">
        <x:v>COMPLETED | BLOCKED | FAILED</x:v>
      </x:c>
      <x:c r="J558" s="33" t="str">
        <x:v>CONFIDENTIAL_SECURITY</x:v>
      </x:c>
      <x:c r="K558" s="33" t="str">
        <x:v>Member 5</x:v>
      </x:c>
    </x:row>
    <x:row r="559" ht="24" customHeight="1">
      <x:c r="A559" s="33" t="str">
        <x:v>ESCA_HSE_04_AI_IoT_Integrations_Audit_Sample_Data.xlsx</x:v>
      </x:c>
      <x:c r="B559" s="33" t="str">
        <x:v>QA_Tool_Calls</x:v>
      </x:c>
      <x:c r="C559" s="33" t="str">
        <x:v>tool_call_id</x:v>
      </x:c>
      <x:c r="D559" s="33" t="str">
        <x:v>id</x:v>
      </x:c>
      <x:c r="E559" s="34" t="b">
        <x:v>1</x:v>
      </x:c>
      <x:c r="F559" s="33" t="str">
        <x:v>PK</x:v>
      </x:c>
      <x:c r="G559" s="50" t="str">
        <x:v>Q&amp;A tool call</x:v>
      </x:c>
      <x:c r="H559" s="33" t="str">
        <x:v>QAT-001</x:v>
      </x:c>
      <x:c r="I559" s="50" t="str"/>
      <x:c r="J559" s="33" t="str">
        <x:v>CONFIDENTIAL_SECURITY</x:v>
      </x:c>
      <x:c r="K559" s="33" t="str">
        <x:v>Member 5 + Member 1</x:v>
      </x:c>
    </x:row>
    <x:row r="560" ht="24" customHeight="1">
      <x:c r="A560" s="33" t="str">
        <x:v>ESCA_HSE_04_AI_IoT_Integrations_Audit_Sample_Data.xlsx</x:v>
      </x:c>
      <x:c r="B560" s="33" t="str">
        <x:v>QA_Tool_Calls</x:v>
      </x:c>
      <x:c r="C560" s="33" t="str">
        <x:v>message_id</x:v>
      </x:c>
      <x:c r="D560" s="33" t="str">
        <x:v>id</x:v>
      </x:c>
      <x:c r="E560" s="34" t="b">
        <x:v>1</x:v>
      </x:c>
      <x:c r="F560" s="33" t="str">
        <x:v>FK -&gt; QA_Messages.message_id</x:v>
      </x:c>
      <x:c r="G560" s="50" t="str">
        <x:v>Assistant message</x:v>
      </x:c>
      <x:c r="H560" s="33" t="str">
        <x:v>QAM-0002</x:v>
      </x:c>
      <x:c r="I560" s="50" t="str"/>
      <x:c r="J560" s="33" t="str">
        <x:v>CONFIDENTIAL_SECURITY</x:v>
      </x:c>
      <x:c r="K560" s="33" t="str">
        <x:v>Member 5 + Member 1</x:v>
      </x:c>
    </x:row>
    <x:row r="561" ht="24" customHeight="1">
      <x:c r="A561" s="33" t="str">
        <x:v>ESCA_HSE_04_AI_IoT_Integrations_Audit_Sample_Data.xlsx</x:v>
      </x:c>
      <x:c r="B561" s="33" t="str">
        <x:v>QA_Tool_Calls</x:v>
      </x:c>
      <x:c r="C561" s="33" t="str">
        <x:v>tool_name</x:v>
      </x:c>
      <x:c r="D561" s="33" t="str">
        <x:v>text</x:v>
      </x:c>
      <x:c r="E561" s="34" t="b">
        <x:v>1</x:v>
      </x:c>
      <x:c r="F561" s="33" t="str"/>
      <x:c r="G561" s="50" t="str">
        <x:v>Approved read tool</x:v>
      </x:c>
      <x:c r="H561" s="33" t="str">
        <x:v>list_overdue_capas</x:v>
      </x:c>
      <x:c r="I561" s="50" t="str"/>
      <x:c r="J561" s="33" t="str">
        <x:v>CONFIDENTIAL_SECURITY</x:v>
      </x:c>
      <x:c r="K561" s="33" t="str">
        <x:v>Member 5 + Member 1</x:v>
      </x:c>
    </x:row>
    <x:row r="562" ht="24" customHeight="1">
      <x:c r="A562" s="33" t="str">
        <x:v>ESCA_HSE_04_AI_IoT_Integrations_Audit_Sample_Data.xlsx</x:v>
      </x:c>
      <x:c r="B562" s="33" t="str">
        <x:v>QA_Tool_Calls</x:v>
      </x:c>
      <x:c r="C562" s="33" t="str">
        <x:v>entity_type</x:v>
      </x:c>
      <x:c r="D562" s="33" t="str">
        <x:v>enum</x:v>
      </x:c>
      <x:c r="E562" s="34" t="b">
        <x:v>1</x:v>
      </x:c>
      <x:c r="F562" s="33" t="str"/>
      <x:c r="G562" s="50" t="str">
        <x:v>Queried entity</x:v>
      </x:c>
      <x:c r="H562" s="33" t="str">
        <x:v>CAPA</x:v>
      </x:c>
      <x:c r="I562" s="50" t="str"/>
      <x:c r="J562" s="33" t="str">
        <x:v>CONFIDENTIAL_SECURITY</x:v>
      </x:c>
      <x:c r="K562" s="33" t="str">
        <x:v>Member 5 + Member 1</x:v>
      </x:c>
    </x:row>
    <x:row r="563" ht="24" customHeight="1">
      <x:c r="A563" s="33" t="str">
        <x:v>ESCA_HSE_04_AI_IoT_Integrations_Audit_Sample_Data.xlsx</x:v>
      </x:c>
      <x:c r="B563" s="33" t="str">
        <x:v>QA_Tool_Calls</x:v>
      </x:c>
      <x:c r="C563" s="33" t="str">
        <x:v>query_summary</x:v>
      </x:c>
      <x:c r="D563" s="33" t="str">
        <x:v>long_text</x:v>
      </x:c>
      <x:c r="E563" s="34" t="b">
        <x:v>1</x:v>
      </x:c>
      <x:c r="F563" s="33" t="str"/>
      <x:c r="G563" s="50" t="str">
        <x:v>Auditable query summary without secrets</x:v>
      </x:c>
      <x:c r="H563" s="33" t="str">
        <x:v>status open and due_date before snapshot</x:v>
      </x:c>
      <x:c r="I563" s="50" t="str"/>
      <x:c r="J563" s="33" t="str">
        <x:v>CONFIDENTIAL_SECURITY</x:v>
      </x:c>
      <x:c r="K563" s="33" t="str">
        <x:v>Member 5 + Member 1</x:v>
      </x:c>
    </x:row>
    <x:row r="564" ht="24" customHeight="1">
      <x:c r="A564" s="33" t="str">
        <x:v>ESCA_HSE_04_AI_IoT_Integrations_Audit_Sample_Data.xlsx</x:v>
      </x:c>
      <x:c r="B564" s="33" t="str">
        <x:v>QA_Tool_Calls</x:v>
      </x:c>
      <x:c r="C564" s="33" t="str">
        <x:v>started_at</x:v>
      </x:c>
      <x:c r="D564" s="33" t="str">
        <x:v>datetime</x:v>
      </x:c>
      <x:c r="E564" s="34" t="b">
        <x:v>1</x:v>
      </x:c>
      <x:c r="F564" s="33" t="str"/>
      <x:c r="G564" s="50" t="str">
        <x:v>Call start</x:v>
      </x:c>
      <x:c r="H564" s="33" t="n">
        <x:v>46247.25150462963</x:v>
      </x:c>
      <x:c r="I564" s="50" t="str"/>
      <x:c r="J564" s="33" t="str">
        <x:v>CONFIDENTIAL_SECURITY</x:v>
      </x:c>
      <x:c r="K564" s="33" t="str">
        <x:v>Member 5 + Member 1</x:v>
      </x:c>
    </x:row>
    <x:row r="565" ht="24" customHeight="1">
      <x:c r="A565" s="33" t="str">
        <x:v>ESCA_HSE_04_AI_IoT_Integrations_Audit_Sample_Data.xlsx</x:v>
      </x:c>
      <x:c r="B565" s="33" t="str">
        <x:v>QA_Tool_Calls</x:v>
      </x:c>
      <x:c r="C565" s="33" t="str">
        <x:v>completed_at</x:v>
      </x:c>
      <x:c r="D565" s="33" t="str">
        <x:v>datetime</x:v>
      </x:c>
      <x:c r="E565" s="34" t="b">
        <x:v>1</x:v>
      </x:c>
      <x:c r="F565" s="33" t="str"/>
      <x:c r="G565" s="50" t="str">
        <x:v>Call completion</x:v>
      </x:c>
      <x:c r="H565" s="33" t="n">
        <x:v>46247.2515162037</x:v>
      </x:c>
      <x:c r="I565" s="50" t="str"/>
      <x:c r="J565" s="33" t="str">
        <x:v>CONFIDENTIAL_SECURITY</x:v>
      </x:c>
      <x:c r="K565" s="33" t="str">
        <x:v>Member 5 + Member 1</x:v>
      </x:c>
    </x:row>
    <x:row r="566" ht="24" customHeight="1">
      <x:c r="A566" s="33" t="str">
        <x:v>ESCA_HSE_04_AI_IoT_Integrations_Audit_Sample_Data.xlsx</x:v>
      </x:c>
      <x:c r="B566" s="33" t="str">
        <x:v>QA_Tool_Calls</x:v>
      </x:c>
      <x:c r="C566" s="33" t="str">
        <x:v>rows_returned</x:v>
      </x:c>
      <x:c r="D566" s="33" t="str">
        <x:v>integer</x:v>
      </x:c>
      <x:c r="E566" s="34" t="b">
        <x:v>1</x:v>
      </x:c>
      <x:c r="F566" s="33" t="str"/>
      <x:c r="G566" s="50" t="str">
        <x:v>Rows returned</x:v>
      </x:c>
      <x:c r="H566" s="33" t="str">
        <x:v>5</x:v>
      </x:c>
      <x:c r="I566" s="50" t="str"/>
      <x:c r="J566" s="33" t="str">
        <x:v>CONFIDENTIAL_SECURITY</x:v>
      </x:c>
      <x:c r="K566" s="33" t="str">
        <x:v>Member 5 + Member 1</x:v>
      </x:c>
    </x:row>
    <x:row r="567" ht="24" customHeight="1">
      <x:c r="A567" s="33" t="str">
        <x:v>ESCA_HSE_04_AI_IoT_Integrations_Audit_Sample_Data.xlsx</x:v>
      </x:c>
      <x:c r="B567" s="33" t="str">
        <x:v>QA_Tool_Calls</x:v>
      </x:c>
      <x:c r="C567" s="33" t="str">
        <x:v>outcome</x:v>
      </x:c>
      <x:c r="D567" s="33" t="str">
        <x:v>enum</x:v>
      </x:c>
      <x:c r="E567" s="34" t="b">
        <x:v>1</x:v>
      </x:c>
      <x:c r="F567" s="33" t="str"/>
      <x:c r="G567" s="50" t="str">
        <x:v>Tool outcome</x:v>
      </x:c>
      <x:c r="H567" s="33" t="str">
        <x:v>SUCCESS</x:v>
      </x:c>
      <x:c r="I567" s="50" t="str">
        <x:v>SUCCESS | DENIED | FAILED</x:v>
      </x:c>
      <x:c r="J567" s="33" t="str">
        <x:v>CONFIDENTIAL_SECURITY</x:v>
      </x:c>
      <x:c r="K567" s="33" t="str">
        <x:v>Member 5 + Member 1</x:v>
      </x:c>
    </x:row>
    <x:row r="568" ht="24" customHeight="1">
      <x:c r="A568" s="33" t="str">
        <x:v>ESCA_HSE_04_AI_IoT_Integrations_Audit_Sample_Data.xlsx</x:v>
      </x:c>
      <x:c r="B568" s="33" t="str">
        <x:v>QA_Tool_Calls</x:v>
      </x:c>
      <x:c r="C568" s="33" t="str">
        <x:v>audit_id</x:v>
      </x:c>
      <x:c r="D568" s="33" t="str">
        <x:v>id</x:v>
      </x:c>
      <x:c r="E568" s="34" t="b">
        <x:v>1</x:v>
      </x:c>
      <x:c r="F568" s="33" t="str">
        <x:v>FK -&gt; Audit_Log.audit_id</x:v>
      </x:c>
      <x:c r="G568" s="50" t="str">
        <x:v>Audit entry</x:v>
      </x:c>
      <x:c r="H568" s="33" t="str">
        <x:v>AUD-00001</x:v>
      </x:c>
      <x:c r="I568" s="50" t="str"/>
      <x:c r="J568" s="33" t="str">
        <x:v>CONFIDENTIAL_SECURITY</x:v>
      </x:c>
      <x:c r="K568" s="33" t="str">
        <x:v>Member 5 + Member 1</x:v>
      </x:c>
    </x:row>
    <x:row r="569" ht="24" customHeight="1">
      <x:c r="A569" s="33" t="str">
        <x:v>ESCA_HSE_04_AI_IoT_Integrations_Audit_Sample_Data.xlsx</x:v>
      </x:c>
      <x:c r="B569" s="33" t="str">
        <x:v>QA_Tool_Calls</x:v>
      </x:c>
      <x:c r="C569" s="33" t="str">
        <x:v>write_performed</x:v>
      </x:c>
      <x:c r="D569" s="33" t="str">
        <x:v>boolean</x:v>
      </x:c>
      <x:c r="E569" s="34" t="b">
        <x:v>1</x:v>
      </x:c>
      <x:c r="F569" s="33" t="str"/>
      <x:c r="G569" s="50" t="str">
        <x:v>Always false for Q&amp;A read tools</x:v>
      </x:c>
      <x:c r="H569" s="33" t="str">
        <x:v>false</x:v>
      </x:c>
      <x:c r="I569" s="50" t="str"/>
      <x:c r="J569" s="33" t="str">
        <x:v>CONFIDENTIAL_SECURITY</x:v>
      </x:c>
      <x:c r="K569" s="33" t="str">
        <x:v>Member 5 + Member 1</x:v>
      </x:c>
    </x:row>
    <x:row r="570" ht="24" customHeight="1">
      <x:c r="A570" s="33" t="str">
        <x:v>ESCA_HSE_04_AI_IoT_Integrations_Audit_Sample_Data.xlsx</x:v>
      </x:c>
      <x:c r="B570" s="33" t="str">
        <x:v>Notifications</x:v>
      </x:c>
      <x:c r="C570" s="33" t="str">
        <x:v>notification_id</x:v>
      </x:c>
      <x:c r="D570" s="33" t="str">
        <x:v>id</x:v>
      </x:c>
      <x:c r="E570" s="34" t="b">
        <x:v>1</x:v>
      </x:c>
      <x:c r="F570" s="33" t="str">
        <x:v>PK</x:v>
      </x:c>
      <x:c r="G570" s="50" t="str">
        <x:v>Notification identifier</x:v>
      </x:c>
      <x:c r="H570" s="33" t="str">
        <x:v>NTF-0001</x:v>
      </x:c>
      <x:c r="I570" s="50" t="str"/>
      <x:c r="J570" s="33" t="str">
        <x:v>INTERNAL_SAMPLE</x:v>
      </x:c>
      <x:c r="K570" s="33" t="str">
        <x:v>Member 4 + Member 1</x:v>
      </x:c>
    </x:row>
    <x:row r="571" ht="24" customHeight="1">
      <x:c r="A571" s="33" t="str">
        <x:v>ESCA_HSE_04_AI_IoT_Integrations_Audit_Sample_Data.xlsx</x:v>
      </x:c>
      <x:c r="B571" s="33" t="str">
        <x:v>Notifications</x:v>
      </x:c>
      <x:c r="C571" s="33" t="str">
        <x:v>created_at</x:v>
      </x:c>
      <x:c r="D571" s="33" t="str">
        <x:v>datetime</x:v>
      </x:c>
      <x:c r="E571" s="34" t="b">
        <x:v>1</x:v>
      </x:c>
      <x:c r="F571" s="33" t="str"/>
      <x:c r="G571" s="50" t="str">
        <x:v>Created timestamp</x:v>
      </x:c>
      <x:c r="H571" s="33" t="n">
        <x:v>46247.368055555555</x:v>
      </x:c>
      <x:c r="I571" s="50" t="str"/>
      <x:c r="J571" s="33" t="str">
        <x:v>INTERNAL_SAMPLE</x:v>
      </x:c>
      <x:c r="K571" s="33" t="str">
        <x:v>Member 4 + Member 1</x:v>
      </x:c>
    </x:row>
    <x:row r="572" ht="24" customHeight="1">
      <x:c r="A572" s="33" t="str">
        <x:v>ESCA_HSE_04_AI_IoT_Integrations_Audit_Sample_Data.xlsx</x:v>
      </x:c>
      <x:c r="B572" s="33" t="str">
        <x:v>Notifications</x:v>
      </x:c>
      <x:c r="C572" s="33" t="str">
        <x:v>type</x:v>
      </x:c>
      <x:c r="D572" s="33" t="str">
        <x:v>enum</x:v>
      </x:c>
      <x:c r="E572" s="34" t="b">
        <x:v>1</x:v>
      </x:c>
      <x:c r="F572" s="33" t="str"/>
      <x:c r="G572" s="50" t="str">
        <x:v>Notification type</x:v>
      </x:c>
      <x:c r="H572" s="33" t="str">
        <x:v>PERMIT_EXPIRING</x:v>
      </x:c>
      <x:c r="I572" s="50" t="str"/>
      <x:c r="J572" s="33" t="str">
        <x:v>INTERNAL_SAMPLE</x:v>
      </x:c>
      <x:c r="K572" s="33" t="str">
        <x:v>Member 4 + Member 1</x:v>
      </x:c>
    </x:row>
    <x:row r="573" ht="24" customHeight="1">
      <x:c r="A573" s="33" t="str">
        <x:v>ESCA_HSE_04_AI_IoT_Integrations_Audit_Sample_Data.xlsx</x:v>
      </x:c>
      <x:c r="B573" s="33" t="str">
        <x:v>Notifications</x:v>
      </x:c>
      <x:c r="C573" s="33" t="str">
        <x:v>severity</x:v>
      </x:c>
      <x:c r="D573" s="33" t="str">
        <x:v>enum</x:v>
      </x:c>
      <x:c r="E573" s="34" t="b">
        <x:v>1</x:v>
      </x:c>
      <x:c r="F573" s="33" t="str"/>
      <x:c r="G573" s="50" t="str">
        <x:v>Severity</x:v>
      </x:c>
      <x:c r="H573" s="33" t="str">
        <x:v>WARNING</x:v>
      </x:c>
      <x:c r="I573" s="50" t="str">
        <x:v>INFO | WARNING | HIGH | CRITICAL</x:v>
      </x:c>
      <x:c r="J573" s="33" t="str">
        <x:v>INTERNAL_SAMPLE</x:v>
      </x:c>
      <x:c r="K573" s="33" t="str">
        <x:v>Member 4 + Member 1</x:v>
      </x:c>
    </x:row>
    <x:row r="574" ht="24" customHeight="1">
      <x:c r="A574" s="33" t="str">
        <x:v>ESCA_HSE_04_AI_IoT_Integrations_Audit_Sample_Data.xlsx</x:v>
      </x:c>
      <x:c r="B574" s="33" t="str">
        <x:v>Notifications</x:v>
      </x:c>
      <x:c r="C574" s="33" t="str">
        <x:v>entity_type</x:v>
      </x:c>
      <x:c r="D574" s="33" t="str">
        <x:v>enum</x:v>
      </x:c>
      <x:c r="E574" s="34" t="b">
        <x:v>1</x:v>
      </x:c>
      <x:c r="F574" s="33" t="str"/>
      <x:c r="G574" s="50" t="str">
        <x:v>Linked entity type</x:v>
      </x:c>
      <x:c r="H574" s="33" t="str">
        <x:v>PERMIT</x:v>
      </x:c>
      <x:c r="I574" s="50" t="str"/>
      <x:c r="J574" s="33" t="str">
        <x:v>INTERNAL_SAMPLE</x:v>
      </x:c>
      <x:c r="K574" s="33" t="str">
        <x:v>Member 4 + Member 1</x:v>
      </x:c>
    </x:row>
    <x:row r="575" ht="24" customHeight="1">
      <x:c r="A575" s="33" t="str">
        <x:v>ESCA_HSE_04_AI_IoT_Integrations_Audit_Sample_Data.xlsx</x:v>
      </x:c>
      <x:c r="B575" s="33" t="str">
        <x:v>Notifications</x:v>
      </x:c>
      <x:c r="C575" s="33" t="str">
        <x:v>entity_id</x:v>
      </x:c>
      <x:c r="D575" s="33" t="str">
        <x:v>id</x:v>
      </x:c>
      <x:c r="E575" s="34" t="b">
        <x:v>1</x:v>
      </x:c>
      <x:c r="F575" s="33" t="str"/>
      <x:c r="G575" s="50" t="str">
        <x:v>Linked entity identifier</x:v>
      </x:c>
      <x:c r="H575" s="33" t="str">
        <x:v>PTW-2026-0412</x:v>
      </x:c>
      <x:c r="I575" s="50" t="str"/>
      <x:c r="J575" s="33" t="str">
        <x:v>INTERNAL_SAMPLE</x:v>
      </x:c>
      <x:c r="K575" s="33" t="str">
        <x:v>Member 4 + Member 1</x:v>
      </x:c>
    </x:row>
    <x:row r="576" ht="24" customHeight="1">
      <x:c r="A576" s="33" t="str">
        <x:v>ESCA_HSE_04_AI_IoT_Integrations_Audit_Sample_Data.xlsx</x:v>
      </x:c>
      <x:c r="B576" s="33" t="str">
        <x:v>Notifications</x:v>
      </x:c>
      <x:c r="C576" s="33" t="str">
        <x:v>recipient_type</x:v>
      </x:c>
      <x:c r="D576" s="33" t="str">
        <x:v>enum</x:v>
      </x:c>
      <x:c r="E576" s="34" t="b">
        <x:v>1</x:v>
      </x:c>
      <x:c r="F576" s="33" t="str"/>
      <x:c r="G576" s="50" t="str">
        <x:v>Role or user recipient</x:v>
      </x:c>
      <x:c r="H576" s="33" t="str">
        <x:v>ROLE</x:v>
      </x:c>
      <x:c r="I576" s="50" t="str">
        <x:v>ROLE | USER</x:v>
      </x:c>
      <x:c r="J576" s="33" t="str">
        <x:v>INTERNAL_SAMPLE</x:v>
      </x:c>
      <x:c r="K576" s="33" t="str">
        <x:v>Member 4 + Member 1</x:v>
      </x:c>
    </x:row>
    <x:row r="577" ht="24" customHeight="1">
      <x:c r="A577" s="33" t="str">
        <x:v>ESCA_HSE_04_AI_IoT_Integrations_Audit_Sample_Data.xlsx</x:v>
      </x:c>
      <x:c r="B577" s="33" t="str">
        <x:v>Notifications</x:v>
      </x:c>
      <x:c r="C577" s="33" t="str">
        <x:v>recipient_id</x:v>
      </x:c>
      <x:c r="D577" s="33" t="str">
        <x:v>id</x:v>
      </x:c>
      <x:c r="E577" s="34" t="b">
        <x:v>1</x:v>
      </x:c>
      <x:c r="F577" s="33" t="str"/>
      <x:c r="G577" s="50" t="str">
        <x:v>Recipient identifier</x:v>
      </x:c>
      <x:c r="H577" s="33" t="str">
        <x:v>ROLE-HSE-OFF</x:v>
      </x:c>
      <x:c r="I577" s="50" t="str"/>
      <x:c r="J577" s="33" t="str">
        <x:v>INTERNAL_SAMPLE</x:v>
      </x:c>
      <x:c r="K577" s="33" t="str">
        <x:v>Member 4 + Member 1</x:v>
      </x:c>
    </x:row>
    <x:row r="578" ht="24" customHeight="1">
      <x:c r="A578" s="33" t="str">
        <x:v>ESCA_HSE_04_AI_IoT_Integrations_Audit_Sample_Data.xlsx</x:v>
      </x:c>
      <x:c r="B578" s="33" t="str">
        <x:v>Notifications</x:v>
      </x:c>
      <x:c r="C578" s="33" t="str">
        <x:v>title</x:v>
      </x:c>
      <x:c r="D578" s="33" t="str">
        <x:v>text</x:v>
      </x:c>
      <x:c r="E578" s="34" t="b">
        <x:v>1</x:v>
      </x:c>
      <x:c r="F578" s="33" t="str"/>
      <x:c r="G578" s="50" t="str">
        <x:v>Notification title</x:v>
      </x:c>
      <x:c r="H578" s="33" t="str">
        <x:v>Permit expires soon</x:v>
      </x:c>
      <x:c r="I578" s="50" t="str"/>
      <x:c r="J578" s="33" t="str">
        <x:v>INTERNAL_SAMPLE</x:v>
      </x:c>
      <x:c r="K578" s="33" t="str">
        <x:v>Member 4 + Member 1</x:v>
      </x:c>
    </x:row>
    <x:row r="579" ht="24" customHeight="1">
      <x:c r="A579" s="33" t="str">
        <x:v>ESCA_HSE_04_AI_IoT_Integrations_Audit_Sample_Data.xlsx</x:v>
      </x:c>
      <x:c r="B579" s="33" t="str">
        <x:v>Notifications</x:v>
      </x:c>
      <x:c r="C579" s="33" t="str">
        <x:v>message</x:v>
      </x:c>
      <x:c r="D579" s="33" t="str">
        <x:v>long_text</x:v>
      </x:c>
      <x:c r="E579" s="34" t="b">
        <x:v>1</x:v>
      </x:c>
      <x:c r="F579" s="33" t="str"/>
      <x:c r="G579" s="50" t="str">
        <x:v>Notification message</x:v>
      </x:c>
      <x:c r="H579" s="33" t="str">
        <x:v>Hot-work permit expires within 2 hours</x:v>
      </x:c>
      <x:c r="I579" s="50" t="str"/>
      <x:c r="J579" s="33" t="str">
        <x:v>INTERNAL_SAMPLE</x:v>
      </x:c>
      <x:c r="K579" s="33" t="str">
        <x:v>Member 4 + Member 1</x:v>
      </x:c>
    </x:row>
    <x:row r="580" ht="24" customHeight="1">
      <x:c r="A580" s="33" t="str">
        <x:v>ESCA_HSE_04_AI_IoT_Integrations_Audit_Sample_Data.xlsx</x:v>
      </x:c>
      <x:c r="B580" s="33" t="str">
        <x:v>Notifications</x:v>
      </x:c>
      <x:c r="C580" s="33" t="str">
        <x:v>status</x:v>
      </x:c>
      <x:c r="D580" s="33" t="str">
        <x:v>enum</x:v>
      </x:c>
      <x:c r="E580" s="34" t="b">
        <x:v>1</x:v>
      </x:c>
      <x:c r="F580" s="33" t="str"/>
      <x:c r="G580" s="50" t="str">
        <x:v>Read state</x:v>
      </x:c>
      <x:c r="H580" s="33" t="str">
        <x:v>UNREAD</x:v>
      </x:c>
      <x:c r="I580" s="50" t="str">
        <x:v>UNREAD | READ | ARCHIVED</x:v>
      </x:c>
      <x:c r="J580" s="33" t="str">
        <x:v>INTERNAL_SAMPLE</x:v>
      </x:c>
      <x:c r="K580" s="33" t="str">
        <x:v>Member 4 + Member 1</x:v>
      </x:c>
    </x:row>
    <x:row r="581" ht="24" customHeight="1">
      <x:c r="A581" s="33" t="str">
        <x:v>ESCA_HSE_04_AI_IoT_Integrations_Audit_Sample_Data.xlsx</x:v>
      </x:c>
      <x:c r="B581" s="33" t="str">
        <x:v>Notifications</x:v>
      </x:c>
      <x:c r="C581" s="33" t="str">
        <x:v>read_at</x:v>
      </x:c>
      <x:c r="D581" s="33" t="str">
        <x:v>datetime</x:v>
      </x:c>
      <x:c r="E581" s="34" t="b">
        <x:v>0</x:v>
      </x:c>
      <x:c r="F581" s="33" t="str"/>
      <x:c r="G581" s="50" t="str">
        <x:v>Read timestamp</x:v>
      </x:c>
      <x:c r="H581" s="33" t="n">
        <x:v>46247.37152777778</x:v>
      </x:c>
      <x:c r="I581" s="50" t="str"/>
      <x:c r="J581" s="33" t="str">
        <x:v>INTERNAL_SAMPLE</x:v>
      </x:c>
      <x:c r="K581" s="33" t="str">
        <x:v>Member 4 + Member 1</x:v>
      </x:c>
    </x:row>
    <x:row r="582" ht="24" customHeight="1">
      <x:c r="A582" s="33" t="str">
        <x:v>ESCA_HSE_04_AI_IoT_Integrations_Audit_Sample_Data.xlsx</x:v>
      </x:c>
      <x:c r="B582" s="33" t="str">
        <x:v>Notifications</x:v>
      </x:c>
      <x:c r="C582" s="33" t="str">
        <x:v>idempotency_key</x:v>
      </x:c>
      <x:c r="D582" s="33" t="str">
        <x:v>text</x:v>
      </x:c>
      <x:c r="E582" s="34" t="b">
        <x:v>1</x:v>
      </x:c>
      <x:c r="F582" s="33" t="str"/>
      <x:c r="G582" s="50" t="str">
        <x:v>Unique deduplication key</x:v>
      </x:c>
      <x:c r="H582" s="33" t="str">
        <x:v>permit_expiring:PTW-2026-0412:2026-08-13</x:v>
      </x:c>
      <x:c r="I582" s="50" t="str"/>
      <x:c r="J582" s="33" t="str">
        <x:v>INTERNAL_SAMPLE</x:v>
      </x:c>
      <x:c r="K582" s="33" t="str">
        <x:v>Member 4 + Member 1</x:v>
      </x:c>
    </x:row>
    <x:row r="583" ht="24" customHeight="1">
      <x:c r="A583" s="33" t="str">
        <x:v>ESCA_HSE_04_AI_IoT_Integrations_Audit_Sample_Data.xlsx</x:v>
      </x:c>
      <x:c r="B583" s="33" t="str">
        <x:v>Notifications</x:v>
      </x:c>
      <x:c r="C583" s="33" t="str">
        <x:v>source_service</x:v>
      </x:c>
      <x:c r="D583" s="33" t="str">
        <x:v>text</x:v>
      </x:c>
      <x:c r="E583" s="34" t="b">
        <x:v>1</x:v>
      </x:c>
      <x:c r="F583" s="33" t="str"/>
      <x:c r="G583" s="50" t="str">
        <x:v>Creating service</x:v>
      </x:c>
      <x:c r="H583" s="33" t="str">
        <x:v>automation-agent</x:v>
      </x:c>
      <x:c r="I583" s="50" t="str"/>
      <x:c r="J583" s="33" t="str">
        <x:v>INTERNAL_SAMPLE</x:v>
      </x:c>
      <x:c r="K583" s="33" t="str">
        <x:v>Member 4 + Member 1</x:v>
      </x:c>
    </x:row>
    <x:row r="584" ht="24" customHeight="1">
      <x:c r="A584" s="33" t="str">
        <x:v>ESCA_HSE_04_AI_IoT_Integrations_Audit_Sample_Data.xlsx</x:v>
      </x:c>
      <x:c r="B584" s="33" t="str">
        <x:v>Audit_Log</x:v>
      </x:c>
      <x:c r="C584" s="33" t="str">
        <x:v>audit_id</x:v>
      </x:c>
      <x:c r="D584" s="33" t="str">
        <x:v>id</x:v>
      </x:c>
      <x:c r="E584" s="34" t="b">
        <x:v>1</x:v>
      </x:c>
      <x:c r="F584" s="33" t="str">
        <x:v>PK</x:v>
      </x:c>
      <x:c r="G584" s="50" t="str">
        <x:v>Immutable audit identifier</x:v>
      </x:c>
      <x:c r="H584" s="33" t="str">
        <x:v>AUD-00001</x:v>
      </x:c>
      <x:c r="I584" s="50" t="str"/>
      <x:c r="J584" s="33" t="str">
        <x:v>CONFIDENTIAL_SECURITY</x:v>
      </x:c>
      <x:c r="K584" s="33" t="str">
        <x:v>Member 1</x:v>
      </x:c>
    </x:row>
    <x:row r="585" ht="24" customHeight="1">
      <x:c r="A585" s="33" t="str">
        <x:v>ESCA_HSE_04_AI_IoT_Integrations_Audit_Sample_Data.xlsx</x:v>
      </x:c>
      <x:c r="B585" s="33" t="str">
        <x:v>Audit_Log</x:v>
      </x:c>
      <x:c r="C585" s="33" t="str">
        <x:v>occurred_at</x:v>
      </x:c>
      <x:c r="D585" s="33" t="str">
        <x:v>datetime</x:v>
      </x:c>
      <x:c r="E585" s="34" t="b">
        <x:v>1</x:v>
      </x:c>
      <x:c r="F585" s="33" t="str"/>
      <x:c r="G585" s="50" t="str">
        <x:v>Event timestamp</x:v>
      </x:c>
      <x:c r="H585" s="33" t="n">
        <x:v>46247.322222222225</x:v>
      </x:c>
      <x:c r="I585" s="50" t="str"/>
      <x:c r="J585" s="33" t="str">
        <x:v>CONFIDENTIAL_SECURITY</x:v>
      </x:c>
      <x:c r="K585" s="33" t="str">
        <x:v>Member 1</x:v>
      </x:c>
    </x:row>
    <x:row r="586" ht="24" customHeight="1">
      <x:c r="A586" s="33" t="str">
        <x:v>ESCA_HSE_04_AI_IoT_Integrations_Audit_Sample_Data.xlsx</x:v>
      </x:c>
      <x:c r="B586" s="33" t="str">
        <x:v>Audit_Log</x:v>
      </x:c>
      <x:c r="C586" s="33" t="str">
        <x:v>actor_type</x:v>
      </x:c>
      <x:c r="D586" s="33" t="str">
        <x:v>enum</x:v>
      </x:c>
      <x:c r="E586" s="34" t="b">
        <x:v>1</x:v>
      </x:c>
      <x:c r="F586" s="33" t="str"/>
      <x:c r="G586" s="50" t="str">
        <x:v>Actor category</x:v>
      </x:c>
      <x:c r="H586" s="33" t="str">
        <x:v>USER</x:v>
      </x:c>
      <x:c r="I586" s="50" t="str">
        <x:v>USER | SERVICE | UNKNOWN</x:v>
      </x:c>
      <x:c r="J586" s="33" t="str">
        <x:v>CONFIDENTIAL_SECURITY</x:v>
      </x:c>
      <x:c r="K586" s="33" t="str">
        <x:v>Member 1</x:v>
      </x:c>
    </x:row>
    <x:row r="587" ht="24" customHeight="1">
      <x:c r="A587" s="33" t="str">
        <x:v>ESCA_HSE_04_AI_IoT_Integrations_Audit_Sample_Data.xlsx</x:v>
      </x:c>
      <x:c r="B587" s="33" t="str">
        <x:v>Audit_Log</x:v>
      </x:c>
      <x:c r="C587" s="33" t="str">
        <x:v>actor_id</x:v>
      </x:c>
      <x:c r="D587" s="33" t="str">
        <x:v>id</x:v>
      </x:c>
      <x:c r="E587" s="34" t="b">
        <x:v>1</x:v>
      </x:c>
      <x:c r="F587" s="33" t="str"/>
      <x:c r="G587" s="50" t="str">
        <x:v>Actor identifier</x:v>
      </x:c>
      <x:c r="H587" s="33" t="str">
        <x:v>USR-008</x:v>
      </x:c>
      <x:c r="I587" s="50" t="str"/>
      <x:c r="J587" s="33" t="str">
        <x:v>CONFIDENTIAL_SECURITY</x:v>
      </x:c>
      <x:c r="K587" s="33" t="str">
        <x:v>Member 1</x:v>
      </x:c>
    </x:row>
    <x:row r="588" ht="24" customHeight="1">
      <x:c r="A588" s="33" t="str">
        <x:v>ESCA_HSE_04_AI_IoT_Integrations_Audit_Sample_Data.xlsx</x:v>
      </x:c>
      <x:c r="B588" s="33" t="str">
        <x:v>Audit_Log</x:v>
      </x:c>
      <x:c r="C588" s="33" t="str">
        <x:v>action</x:v>
      </x:c>
      <x:c r="D588" s="33" t="str">
        <x:v>enum</x:v>
      </x:c>
      <x:c r="E588" s="34" t="b">
        <x:v>1</x:v>
      </x:c>
      <x:c r="F588" s="33" t="str"/>
      <x:c r="G588" s="50" t="str">
        <x:v>Audited action</x:v>
      </x:c>
      <x:c r="H588" s="33" t="str">
        <x:v>VIEW</x:v>
      </x:c>
      <x:c r="I588" s="50" t="str"/>
      <x:c r="J588" s="33" t="str">
        <x:v>CONFIDENTIAL_SECURITY</x:v>
      </x:c>
      <x:c r="K588" s="33" t="str">
        <x:v>Member 1</x:v>
      </x:c>
    </x:row>
    <x:row r="589" ht="24" customHeight="1">
      <x:c r="A589" s="33" t="str">
        <x:v>ESCA_HSE_04_AI_IoT_Integrations_Audit_Sample_Data.xlsx</x:v>
      </x:c>
      <x:c r="B589" s="33" t="str">
        <x:v>Audit_Log</x:v>
      </x:c>
      <x:c r="C589" s="33" t="str">
        <x:v>entity_type</x:v>
      </x:c>
      <x:c r="D589" s="33" t="str">
        <x:v>enum</x:v>
      </x:c>
      <x:c r="E589" s="34" t="b">
        <x:v>1</x:v>
      </x:c>
      <x:c r="F589" s="33" t="str"/>
      <x:c r="G589" s="50" t="str">
        <x:v>Entity category</x:v>
      </x:c>
      <x:c r="H589" s="33" t="str">
        <x:v>INCIDENT</x:v>
      </x:c>
      <x:c r="I589" s="50" t="str"/>
      <x:c r="J589" s="33" t="str">
        <x:v>CONFIDENTIAL_SECURITY</x:v>
      </x:c>
      <x:c r="K589" s="33" t="str">
        <x:v>Member 1</x:v>
      </x:c>
    </x:row>
    <x:row r="590" ht="24" customHeight="1">
      <x:c r="A590" s="33" t="str">
        <x:v>ESCA_HSE_04_AI_IoT_Integrations_Audit_Sample_Data.xlsx</x:v>
      </x:c>
      <x:c r="B590" s="33" t="str">
        <x:v>Audit_Log</x:v>
      </x:c>
      <x:c r="C590" s="33" t="str">
        <x:v>entity_id</x:v>
      </x:c>
      <x:c r="D590" s="33" t="str">
        <x:v>id</x:v>
      </x:c>
      <x:c r="E590" s="34" t="b">
        <x:v>1</x:v>
      </x:c>
      <x:c r="F590" s="33" t="str"/>
      <x:c r="G590" s="50" t="str">
        <x:v>Entity identifier</x:v>
      </x:c>
      <x:c r="H590" s="33" t="str">
        <x:v>INC-2026-0089</x:v>
      </x:c>
      <x:c r="I590" s="50" t="str"/>
      <x:c r="J590" s="33" t="str">
        <x:v>CONFIDENTIAL_SECURITY</x:v>
      </x:c>
      <x:c r="K590" s="33" t="str">
        <x:v>Member 1</x:v>
      </x:c>
    </x:row>
    <x:row r="591" ht="24" customHeight="1">
      <x:c r="A591" s="33" t="str">
        <x:v>ESCA_HSE_04_AI_IoT_Integrations_Audit_Sample_Data.xlsx</x:v>
      </x:c>
      <x:c r="B591" s="33" t="str">
        <x:v>Audit_Log</x:v>
      </x:c>
      <x:c r="C591" s="33" t="str">
        <x:v>result</x:v>
      </x:c>
      <x:c r="D591" s="33" t="str">
        <x:v>enum</x:v>
      </x:c>
      <x:c r="E591" s="34" t="b">
        <x:v>1</x:v>
      </x:c>
      <x:c r="F591" s="33" t="str"/>
      <x:c r="G591" s="50" t="str">
        <x:v>Action result</x:v>
      </x:c>
      <x:c r="H591" s="33" t="str">
        <x:v>SUCCESS</x:v>
      </x:c>
      <x:c r="I591" s="50" t="str">
        <x:v>SUCCESS | FAILED | DENIED</x:v>
      </x:c>
      <x:c r="J591" s="33" t="str">
        <x:v>CONFIDENTIAL_SECURITY</x:v>
      </x:c>
      <x:c r="K591" s="33" t="str">
        <x:v>Member 1</x:v>
      </x:c>
    </x:row>
    <x:row r="592" ht="24" customHeight="1">
      <x:c r="A592" s="33" t="str">
        <x:v>ESCA_HSE_04_AI_IoT_Integrations_Audit_Sample_Data.xlsx</x:v>
      </x:c>
      <x:c r="B592" s="33" t="str">
        <x:v>Audit_Log</x:v>
      </x:c>
      <x:c r="C592" s="33" t="str">
        <x:v>ip_or_source</x:v>
      </x:c>
      <x:c r="D592" s="33" t="str">
        <x:v>text</x:v>
      </x:c>
      <x:c r="E592" s="34" t="b">
        <x:v>1</x:v>
      </x:c>
      <x:c r="F592" s="33" t="str"/>
      <x:c r="G592" s="50" t="str">
        <x:v>Masked IP or service source</x:v>
      </x:c>
      <x:c r="H592" s="33" t="str">
        <x:v>10.14.2.61</x:v>
      </x:c>
      <x:c r="I592" s="50" t="str"/>
      <x:c r="J592" s="33" t="str">
        <x:v>CONFIDENTIAL_SECURITY</x:v>
      </x:c>
      <x:c r="K592" s="33" t="str">
        <x:v>Member 1</x:v>
      </x:c>
    </x:row>
    <x:row r="593" ht="24" customHeight="1">
      <x:c r="A593" s="33" t="str">
        <x:v>ESCA_HSE_04_AI_IoT_Integrations_Audit_Sample_Data.xlsx</x:v>
      </x:c>
      <x:c r="B593" s="33" t="str">
        <x:v>Audit_Log</x:v>
      </x:c>
      <x:c r="C593" s="33" t="str">
        <x:v>correlation_id</x:v>
      </x:c>
      <x:c r="D593" s="33" t="str">
        <x:v>id</x:v>
      </x:c>
      <x:c r="E593" s="34" t="b">
        <x:v>1</x:v>
      </x:c>
      <x:c r="F593" s="33" t="str"/>
      <x:c r="G593" s="50" t="str">
        <x:v>Trace correlation</x:v>
      </x:c>
      <x:c r="H593" s="33" t="str">
        <x:v>CORR-AUD-0001</x:v>
      </x:c>
      <x:c r="I593" s="50" t="str"/>
      <x:c r="J593" s="33" t="str">
        <x:v>CONFIDENTIAL_SECURITY</x:v>
      </x:c>
      <x:c r="K593" s="33" t="str">
        <x:v>Member 1</x:v>
      </x:c>
    </x:row>
    <x:row r="594" ht="24" customHeight="1">
      <x:c r="A594" s="33" t="str">
        <x:v>ESCA_HSE_04_AI_IoT_Integrations_Audit_Sample_Data.xlsx</x:v>
      </x:c>
      <x:c r="B594" s="33" t="str">
        <x:v>Audit_Log</x:v>
      </x:c>
      <x:c r="C594" s="33" t="str">
        <x:v>immutable_hash</x:v>
      </x:c>
      <x:c r="D594" s="33" t="str">
        <x:v>text</x:v>
      </x:c>
      <x:c r="E594" s="34" t="b">
        <x:v>1</x:v>
      </x:c>
      <x:c r="F594" s="33" t="str"/>
      <x:c r="G594" s="50" t="str">
        <x:v>Synthetic immutable hash</x:v>
      </x:c>
      <x:c r="H594" s="33" t="str">
        <x:v>sha256-demo-audit-00001</x:v>
      </x:c>
      <x:c r="I594" s="50" t="str"/>
      <x:c r="J594" s="33" t="str">
        <x:v>CONFIDENTIAL_SECURITY</x:v>
      </x:c>
      <x:c r="K594" s="33" t="str">
        <x:v>Member 1</x:v>
      </x:c>
    </x:row>
    <x:row r="595" ht="24" customHeight="1">
      <x:c r="A595" s="33" t="str">
        <x:v>ESCA_HSE_04_AI_IoT_Integrations_Audit_Sample_Data.xlsx</x:v>
      </x:c>
      <x:c r="B595" s="33" t="str">
        <x:v>Security_Events</x:v>
      </x:c>
      <x:c r="C595" s="33" t="str">
        <x:v>security_event_id</x:v>
      </x:c>
      <x:c r="D595" s="33" t="str">
        <x:v>id</x:v>
      </x:c>
      <x:c r="E595" s="34" t="b">
        <x:v>1</x:v>
      </x:c>
      <x:c r="F595" s="33" t="str">
        <x:v>PK</x:v>
      </x:c>
      <x:c r="G595" s="50" t="str">
        <x:v>Security event</x:v>
      </x:c>
      <x:c r="H595" s="33" t="str">
        <x:v>SEC-001</x:v>
      </x:c>
      <x:c r="I595" s="50" t="str"/>
      <x:c r="J595" s="33" t="str">
        <x:v>CONFIDENTIAL_SECURITY</x:v>
      </x:c>
      <x:c r="K595" s="33" t="str">
        <x:v>Member 1</x:v>
      </x:c>
    </x:row>
    <x:row r="596" ht="24" customHeight="1">
      <x:c r="A596" s="33" t="str">
        <x:v>ESCA_HSE_04_AI_IoT_Integrations_Audit_Sample_Data.xlsx</x:v>
      </x:c>
      <x:c r="B596" s="33" t="str">
        <x:v>Security_Events</x:v>
      </x:c>
      <x:c r="C596" s="33" t="str">
        <x:v>occurred_at</x:v>
      </x:c>
      <x:c r="D596" s="33" t="str">
        <x:v>datetime</x:v>
      </x:c>
      <x:c r="E596" s="34" t="b">
        <x:v>1</x:v>
      </x:c>
      <x:c r="F596" s="33" t="str"/>
      <x:c r="G596" s="50" t="str">
        <x:v>Event time</x:v>
      </x:c>
      <x:c r="H596" s="33" t="n">
        <x:v>46247.055555555555</x:v>
      </x:c>
      <x:c r="I596" s="50" t="str"/>
      <x:c r="J596" s="33" t="str">
        <x:v>CONFIDENTIAL_SECURITY</x:v>
      </x:c>
      <x:c r="K596" s="33" t="str">
        <x:v>Member 1</x:v>
      </x:c>
    </x:row>
    <x:row r="597" ht="24" customHeight="1">
      <x:c r="A597" s="33" t="str">
        <x:v>ESCA_HSE_04_AI_IoT_Integrations_Audit_Sample_Data.xlsx</x:v>
      </x:c>
      <x:c r="B597" s="33" t="str">
        <x:v>Security_Events</x:v>
      </x:c>
      <x:c r="C597" s="33" t="str">
        <x:v>event_type</x:v>
      </x:c>
      <x:c r="D597" s="33" t="str">
        <x:v>enum</x:v>
      </x:c>
      <x:c r="E597" s="34" t="b">
        <x:v>1</x:v>
      </x:c>
      <x:c r="F597" s="33" t="str"/>
      <x:c r="G597" s="50" t="str">
        <x:v>Security event type</x:v>
      </x:c>
      <x:c r="H597" s="33" t="str">
        <x:v>FAILED_LOGIN</x:v>
      </x:c>
      <x:c r="I597" s="50" t="str"/>
      <x:c r="J597" s="33" t="str">
        <x:v>CONFIDENTIAL_SECURITY</x:v>
      </x:c>
      <x:c r="K597" s="33" t="str">
        <x:v>Member 1</x:v>
      </x:c>
    </x:row>
    <x:row r="598" ht="24" customHeight="1">
      <x:c r="A598" s="33" t="str">
        <x:v>ESCA_HSE_04_AI_IoT_Integrations_Audit_Sample_Data.xlsx</x:v>
      </x:c>
      <x:c r="B598" s="33" t="str">
        <x:v>Security_Events</x:v>
      </x:c>
      <x:c r="C598" s="33" t="str">
        <x:v>severity</x:v>
      </x:c>
      <x:c r="D598" s="33" t="str">
        <x:v>enum</x:v>
      </x:c>
      <x:c r="E598" s="34" t="b">
        <x:v>1</x:v>
      </x:c>
      <x:c r="F598" s="33" t="str"/>
      <x:c r="G598" s="50" t="str">
        <x:v>Severity</x:v>
      </x:c>
      <x:c r="H598" s="33" t="str">
        <x:v>MEDIUM</x:v>
      </x:c>
      <x:c r="I598" s="50" t="str">
        <x:v>INFO | LOW | MEDIUM | HIGH | CRITICAL</x:v>
      </x:c>
      <x:c r="J598" s="33" t="str">
        <x:v>CONFIDENTIAL_SECURITY</x:v>
      </x:c>
      <x:c r="K598" s="33" t="str">
        <x:v>Member 1</x:v>
      </x:c>
    </x:row>
    <x:row r="599" ht="24" customHeight="1">
      <x:c r="A599" s="33" t="str">
        <x:v>ESCA_HSE_04_AI_IoT_Integrations_Audit_Sample_Data.xlsx</x:v>
      </x:c>
      <x:c r="B599" s="33" t="str">
        <x:v>Security_Events</x:v>
      </x:c>
      <x:c r="C599" s="33" t="str">
        <x:v>user_id</x:v>
      </x:c>
      <x:c r="D599" s="33" t="str">
        <x:v>id</x:v>
      </x:c>
      <x:c r="E599" s="34" t="b">
        <x:v>0</x:v>
      </x:c>
      <x:c r="F599" s="33" t="str">
        <x:v>FK -&gt; Users.user_id</x:v>
      </x:c>
      <x:c r="G599" s="50" t="str">
        <x:v>Related user</x:v>
      </x:c>
      <x:c r="H599" s="33" t="str">
        <x:v>USR-013</x:v>
      </x:c>
      <x:c r="I599" s="50" t="str"/>
      <x:c r="J599" s="33" t="str">
        <x:v>CONFIDENTIAL_SECURITY</x:v>
      </x:c>
      <x:c r="K599" s="33" t="str">
        <x:v>Member 1</x:v>
      </x:c>
    </x:row>
    <x:row r="600" ht="24" customHeight="1">
      <x:c r="A600" s="33" t="str">
        <x:v>ESCA_HSE_04_AI_IoT_Integrations_Audit_Sample_Data.xlsx</x:v>
      </x:c>
      <x:c r="B600" s="33" t="str">
        <x:v>Security_Events</x:v>
      </x:c>
      <x:c r="C600" s="33" t="str">
        <x:v>ip_or_source</x:v>
      </x:c>
      <x:c r="D600" s="33" t="str">
        <x:v>text</x:v>
      </x:c>
      <x:c r="E600" s="34" t="b">
        <x:v>1</x:v>
      </x:c>
      <x:c r="F600" s="33" t="str"/>
      <x:c r="G600" s="50" t="str">
        <x:v>Masked source</x:v>
      </x:c>
      <x:c r="H600" s="33" t="str">
        <x:v>41.33.x.x</x:v>
      </x:c>
      <x:c r="I600" s="50" t="str"/>
      <x:c r="J600" s="33" t="str">
        <x:v>CONFIDENTIAL_SECURITY</x:v>
      </x:c>
      <x:c r="K600" s="33" t="str">
        <x:v>Member 1</x:v>
      </x:c>
    </x:row>
    <x:row r="601" ht="24" customHeight="1">
      <x:c r="A601" s="33" t="str">
        <x:v>ESCA_HSE_04_AI_IoT_Integrations_Audit_Sample_Data.xlsx</x:v>
      </x:c>
      <x:c r="B601" s="33" t="str">
        <x:v>Security_Events</x:v>
      </x:c>
      <x:c r="C601" s="33" t="str">
        <x:v>risk_score</x:v>
      </x:c>
      <x:c r="D601" s="33" t="str">
        <x:v>integer</x:v>
      </x:c>
      <x:c r="E601" s="34" t="b">
        <x:v>1</x:v>
      </x:c>
      <x:c r="F601" s="33" t="str"/>
      <x:c r="G601" s="50" t="str">
        <x:v>Synthetic risk score 0-100</x:v>
      </x:c>
      <x:c r="H601" s="33" t="str">
        <x:v>45</x:v>
      </x:c>
      <x:c r="I601" s="50" t="str"/>
      <x:c r="J601" s="33" t="str">
        <x:v>CONFIDENTIAL_SECURITY</x:v>
      </x:c>
      <x:c r="K601" s="33" t="str">
        <x:v>Member 1</x:v>
      </x:c>
    </x:row>
    <x:row r="602" ht="24" customHeight="1">
      <x:c r="A602" s="33" t="str">
        <x:v>ESCA_HSE_04_AI_IoT_Integrations_Audit_Sample_Data.xlsx</x:v>
      </x:c>
      <x:c r="B602" s="33" t="str">
        <x:v>Security_Events</x:v>
      </x:c>
      <x:c r="C602" s="33" t="str">
        <x:v>status</x:v>
      </x:c>
      <x:c r="D602" s="33" t="str">
        <x:v>enum</x:v>
      </x:c>
      <x:c r="E602" s="34" t="b">
        <x:v>1</x:v>
      </x:c>
      <x:c r="F602" s="33" t="str"/>
      <x:c r="G602" s="50" t="str">
        <x:v>Event state</x:v>
      </x:c>
      <x:c r="H602" s="33" t="str">
        <x:v>INVESTIGATING</x:v>
      </x:c>
      <x:c r="I602" s="50" t="str">
        <x:v>NEW | INVESTIGATING | MITIGATED | APPROVED | CLOSED</x:v>
      </x:c>
      <x:c r="J602" s="33" t="str">
        <x:v>CONFIDENTIAL_SECURITY</x:v>
      </x:c>
      <x:c r="K602" s="33" t="str">
        <x:v>Member 1</x:v>
      </x:c>
    </x:row>
    <x:row r="603" ht="24" customHeight="1">
      <x:c r="A603" s="33" t="str">
        <x:v>ESCA_HSE_04_AI_IoT_Integrations_Audit_Sample_Data.xlsx</x:v>
      </x:c>
      <x:c r="B603" s="33" t="str">
        <x:v>Security_Events</x:v>
      </x:c>
      <x:c r="C603" s="33" t="str">
        <x:v>action_taken</x:v>
      </x:c>
      <x:c r="D603" s="33" t="str">
        <x:v>text</x:v>
      </x:c>
      <x:c r="E603" s="34" t="b">
        <x:v>1</x:v>
      </x:c>
      <x:c r="F603" s="33" t="str"/>
      <x:c r="G603" s="50" t="str">
        <x:v>Response action</x:v>
      </x:c>
      <x:c r="H603" s="33" t="str">
        <x:v>ATTEMPT_COUNTED</x:v>
      </x:c>
      <x:c r="I603" s="50" t="str"/>
      <x:c r="J603" s="33" t="str">
        <x:v>CONFIDENTIAL_SECURITY</x:v>
      </x:c>
      <x:c r="K603" s="33" t="str">
        <x:v>Member 1</x:v>
      </x:c>
    </x:row>
    <x:row r="604" ht="24" customHeight="1">
      <x:c r="A604" s="33" t="str">
        <x:v>ESCA_HSE_04_AI_IoT_Integrations_Audit_Sample_Data.xlsx</x:v>
      </x:c>
      <x:c r="B604" s="33" t="str">
        <x:v>Security_Events</x:v>
      </x:c>
      <x:c r="C604" s="33" t="str">
        <x:v>correlation_id</x:v>
      </x:c>
      <x:c r="D604" s="33" t="str">
        <x:v>id</x:v>
      </x:c>
      <x:c r="E604" s="34" t="b">
        <x:v>1</x:v>
      </x:c>
      <x:c r="F604" s="33" t="str"/>
      <x:c r="G604" s="50" t="str">
        <x:v>Trace ID</x:v>
      </x:c>
      <x:c r="H604" s="33" t="str">
        <x:v>CORR-SEC-001</x:v>
      </x:c>
      <x:c r="I604" s="50" t="str"/>
      <x:c r="J604" s="33" t="str">
        <x:v>CONFIDENTIAL_SECURITY</x:v>
      </x:c>
      <x:c r="K604" s="33" t="str">
        <x:v>Member 1</x:v>
      </x:c>
    </x:row>
    <x:row r="605" ht="24" customHeight="1">
      <x:c r="A605" s="33" t="str">
        <x:v>ESCA_HSE_04_AI_IoT_Integrations_Audit_Sample_Data.xlsx</x:v>
      </x:c>
      <x:c r="B605" s="33" t="str">
        <x:v>Automation_Rules</x:v>
      </x:c>
      <x:c r="C605" s="33" t="str">
        <x:v>rule_id</x:v>
      </x:c>
      <x:c r="D605" s="33" t="str">
        <x:v>id</x:v>
      </x:c>
      <x:c r="E605" s="34" t="b">
        <x:v>1</x:v>
      </x:c>
      <x:c r="F605" s="33" t="str">
        <x:v>PK</x:v>
      </x:c>
      <x:c r="G605" s="50" t="str">
        <x:v>Automation rule identifier</x:v>
      </x:c>
      <x:c r="H605" s="33" t="str">
        <x:v>AUT-001</x:v>
      </x:c>
      <x:c r="I605" s="50" t="str"/>
      <x:c r="J605" s="33" t="str">
        <x:v>INTERNAL_SAMPLE</x:v>
      </x:c>
      <x:c r="K605" s="33" t="str">
        <x:v>Member 4</x:v>
      </x:c>
    </x:row>
    <x:row r="606" ht="24" customHeight="1">
      <x:c r="A606" s="33" t="str">
        <x:v>ESCA_HSE_04_AI_IoT_Integrations_Audit_Sample_Data.xlsx</x:v>
      </x:c>
      <x:c r="B606" s="33" t="str">
        <x:v>Automation_Rules</x:v>
      </x:c>
      <x:c r="C606" s="33" t="str">
        <x:v>rule_name</x:v>
      </x:c>
      <x:c r="D606" s="33" t="str">
        <x:v>text</x:v>
      </x:c>
      <x:c r="E606" s="34" t="b">
        <x:v>1</x:v>
      </x:c>
      <x:c r="F606" s="33" t="str"/>
      <x:c r="G606" s="50" t="str">
        <x:v>Rule name</x:v>
      </x:c>
      <x:c r="H606" s="33" t="str">
        <x:v>Expired or overdue permits</x:v>
      </x:c>
      <x:c r="I606" s="50" t="str"/>
      <x:c r="J606" s="33" t="str">
        <x:v>INTERNAL_SAMPLE</x:v>
      </x:c>
      <x:c r="K606" s="33" t="str">
        <x:v>Member 4</x:v>
      </x:c>
    </x:row>
    <x:row r="607" ht="24" customHeight="1">
      <x:c r="A607" s="33" t="str">
        <x:v>ESCA_HSE_04_AI_IoT_Integrations_Audit_Sample_Data.xlsx</x:v>
      </x:c>
      <x:c r="B607" s="33" t="str">
        <x:v>Automation_Rules</x:v>
      </x:c>
      <x:c r="C607" s="33" t="str">
        <x:v>entity_type</x:v>
      </x:c>
      <x:c r="D607" s="33" t="str">
        <x:v>enum</x:v>
      </x:c>
      <x:c r="E607" s="34" t="b">
        <x:v>1</x:v>
      </x:c>
      <x:c r="F607" s="33" t="str"/>
      <x:c r="G607" s="50" t="str">
        <x:v>Target entity</x:v>
      </x:c>
      <x:c r="H607" s="33" t="str">
        <x:v>PERMIT</x:v>
      </x:c>
      <x:c r="I607" s="50" t="str"/>
      <x:c r="J607" s="33" t="str">
        <x:v>INTERNAL_SAMPLE</x:v>
      </x:c>
      <x:c r="K607" s="33" t="str">
        <x:v>Member 4</x:v>
      </x:c>
    </x:row>
    <x:row r="608" ht="24" customHeight="1">
      <x:c r="A608" s="33" t="str">
        <x:v>ESCA_HSE_04_AI_IoT_Integrations_Audit_Sample_Data.xlsx</x:v>
      </x:c>
      <x:c r="B608" s="33" t="str">
        <x:v>Automation_Rules</x:v>
      </x:c>
      <x:c r="C608" s="33" t="str">
        <x:v>schedule_cron</x:v>
      </x:c>
      <x:c r="D608" s="33" t="str">
        <x:v>text</x:v>
      </x:c>
      <x:c r="E608" s="34" t="b">
        <x:v>1</x:v>
      </x:c>
      <x:c r="F608" s="33" t="str"/>
      <x:c r="G608" s="50" t="str">
        <x:v>Cron expression</x:v>
      </x:c>
      <x:c r="H608" s="33" t="str">
        <x:v>*/5 * * * *</x:v>
      </x:c>
      <x:c r="I608" s="50" t="str"/>
      <x:c r="J608" s="33" t="str">
        <x:v>INTERNAL_SAMPLE</x:v>
      </x:c>
      <x:c r="K608" s="33" t="str">
        <x:v>Member 4</x:v>
      </x:c>
    </x:row>
    <x:row r="609" ht="24" customHeight="1">
      <x:c r="A609" s="33" t="str">
        <x:v>ESCA_HSE_04_AI_IoT_Integrations_Audit_Sample_Data.xlsx</x:v>
      </x:c>
      <x:c r="B609" s="33" t="str">
        <x:v>Automation_Rules</x:v>
      </x:c>
      <x:c r="C609" s="33" t="str">
        <x:v>timezone</x:v>
      </x:c>
      <x:c r="D609" s="33" t="str">
        <x:v>text</x:v>
      </x:c>
      <x:c r="E609" s="34" t="b">
        <x:v>1</x:v>
      </x:c>
      <x:c r="F609" s="33" t="str"/>
      <x:c r="G609" s="50" t="str">
        <x:v>Scheduler timezone</x:v>
      </x:c>
      <x:c r="H609" s="33" t="str">
        <x:v>Africa/Cairo</x:v>
      </x:c>
      <x:c r="I609" s="50" t="str"/>
      <x:c r="J609" s="33" t="str">
        <x:v>INTERNAL_SAMPLE</x:v>
      </x:c>
      <x:c r="K609" s="33" t="str">
        <x:v>Member 4</x:v>
      </x:c>
    </x:row>
    <x:row r="610" ht="24" customHeight="1">
      <x:c r="A610" s="33" t="str">
        <x:v>ESCA_HSE_04_AI_IoT_Integrations_Audit_Sample_Data.xlsx</x:v>
      </x:c>
      <x:c r="B610" s="33" t="str">
        <x:v>Automation_Rules</x:v>
      </x:c>
      <x:c r="C610" s="33" t="str">
        <x:v>condition_summary</x:v>
      </x:c>
      <x:c r="D610" s="33" t="str">
        <x:v>long_text</x:v>
      </x:c>
      <x:c r="E610" s="34" t="b">
        <x:v>1</x:v>
      </x:c>
      <x:c r="F610" s="33" t="str"/>
      <x:c r="G610" s="50" t="str">
        <x:v>Human-readable condition</x:v>
      </x:c>
      <x:c r="H610" s="33" t="str">
        <x:v>ACTIVE permit with expiry_at &lt;= now</x:v>
      </x:c>
      <x:c r="I610" s="50" t="str"/>
      <x:c r="J610" s="33" t="str">
        <x:v>INTERNAL_SAMPLE</x:v>
      </x:c>
      <x:c r="K610" s="33" t="str">
        <x:v>Member 4</x:v>
      </x:c>
    </x:row>
    <x:row r="611" ht="24" customHeight="1">
      <x:c r="A611" s="33" t="str">
        <x:v>ESCA_HSE_04_AI_IoT_Integrations_Audit_Sample_Data.xlsx</x:v>
      </x:c>
      <x:c r="B611" s="33" t="str">
        <x:v>Automation_Rules</x:v>
      </x:c>
      <x:c r="C611" s="33" t="str">
        <x:v>action_endpoint</x:v>
      </x:c>
      <x:c r="D611" s="33" t="str">
        <x:v>text</x:v>
      </x:c>
      <x:c r="E611" s="34" t="b">
        <x:v>1</x:v>
      </x:c>
      <x:c r="F611" s="33" t="str"/>
      <x:c r="G611" s="50" t="str">
        <x:v>Approved Spring API endpoint</x:v>
      </x:c>
      <x:c r="H611" s="33" t="str">
        <x:v>/api/v1/permits/{id}/flag-expired</x:v>
      </x:c>
      <x:c r="I611" s="50" t="str"/>
      <x:c r="J611" s="33" t="str">
        <x:v>INTERNAL_SAMPLE</x:v>
      </x:c>
      <x:c r="K611" s="33" t="str">
        <x:v>Member 4</x:v>
      </x:c>
    </x:row>
    <x:row r="612" ht="24" customHeight="1">
      <x:c r="A612" s="33" t="str">
        <x:v>ESCA_HSE_04_AI_IoT_Integrations_Audit_Sample_Data.xlsx</x:v>
      </x:c>
      <x:c r="B612" s="33" t="str">
        <x:v>Automation_Rules</x:v>
      </x:c>
      <x:c r="C612" s="33" t="str">
        <x:v>severity</x:v>
      </x:c>
      <x:c r="D612" s="33" t="str">
        <x:v>enum</x:v>
      </x:c>
      <x:c r="E612" s="34" t="b">
        <x:v>1</x:v>
      </x:c>
      <x:c r="F612" s="33" t="str"/>
      <x:c r="G612" s="50" t="str">
        <x:v>Generated severity</x:v>
      </x:c>
      <x:c r="H612" s="33" t="str">
        <x:v>CRITICAL</x:v>
      </x:c>
      <x:c r="I612" s="50" t="str">
        <x:v>INFO | WARNING | HIGH | CRITICAL</x:v>
      </x:c>
      <x:c r="J612" s="33" t="str">
        <x:v>INTERNAL_SAMPLE</x:v>
      </x:c>
      <x:c r="K612" s="33" t="str">
        <x:v>Member 4</x:v>
      </x:c>
    </x:row>
    <x:row r="613" ht="24" customHeight="1">
      <x:c r="A613" s="33" t="str">
        <x:v>ESCA_HSE_04_AI_IoT_Integrations_Audit_Sample_Data.xlsx</x:v>
      </x:c>
      <x:c r="B613" s="33" t="str">
        <x:v>Automation_Rules</x:v>
      </x:c>
      <x:c r="C613" s="33" t="str">
        <x:v>active_flag</x:v>
      </x:c>
      <x:c r="D613" s="33" t="str">
        <x:v>boolean</x:v>
      </x:c>
      <x:c r="E613" s="34" t="b">
        <x:v>1</x:v>
      </x:c>
      <x:c r="F613" s="33" t="str"/>
      <x:c r="G613" s="50" t="str">
        <x:v>Rule enabled</x:v>
      </x:c>
      <x:c r="H613" s="33" t="str">
        <x:v>true</x:v>
      </x:c>
      <x:c r="I613" s="50" t="str"/>
      <x:c r="J613" s="33" t="str">
        <x:v>INTERNAL_SAMPLE</x:v>
      </x:c>
      <x:c r="K613" s="33" t="str">
        <x:v>Member 4</x:v>
      </x:c>
    </x:row>
    <x:row r="614" ht="24" customHeight="1">
      <x:c r="A614" s="33" t="str">
        <x:v>ESCA_HSE_04_AI_IoT_Integrations_Audit_Sample_Data.xlsx</x:v>
      </x:c>
      <x:c r="B614" s="33" t="str">
        <x:v>Automation_Rules</x:v>
      </x:c>
      <x:c r="C614" s="33" t="str">
        <x:v>owner</x:v>
      </x:c>
      <x:c r="D614" s="33" t="str">
        <x:v>text</x:v>
      </x:c>
      <x:c r="E614" s="34" t="b">
        <x:v>1</x:v>
      </x:c>
      <x:c r="F614" s="33" t="str"/>
      <x:c r="G614" s="50" t="str">
        <x:v>Rule owner</x:v>
      </x:c>
      <x:c r="H614" s="33" t="str">
        <x:v>Member 4</x:v>
      </x:c>
      <x:c r="I614" s="50" t="str"/>
      <x:c r="J614" s="33" t="str">
        <x:v>INTERNAL_SAMPLE</x:v>
      </x:c>
      <x:c r="K614" s="33" t="str">
        <x:v>Member 4</x:v>
      </x:c>
    </x:row>
    <x:row r="615" ht="24" customHeight="1">
      <x:c r="A615" s="33" t="str">
        <x:v>ESCA_HSE_04_AI_IoT_Integrations_Audit_Sample_Data.xlsx</x:v>
      </x:c>
      <x:c r="B615" s="33" t="str">
        <x:v>Automation_Rules</x:v>
      </x:c>
      <x:c r="C615" s="33" t="str">
        <x:v>threshold_value</x:v>
      </x:c>
      <x:c r="D615" s="33" t="str">
        <x:v>text</x:v>
      </x:c>
      <x:c r="E615" s="34" t="b">
        <x:v>1</x:v>
      </x:c>
      <x:c r="F615" s="33" t="str"/>
      <x:c r="G615" s="50" t="str">
        <x:v>Configurable threshold</x:v>
      </x:c>
      <x:c r="H615" s="33" t="str">
        <x:v>0</x:v>
      </x:c>
      <x:c r="I615" s="50" t="str"/>
      <x:c r="J615" s="33" t="str">
        <x:v>INTERNAL_SAMPLE</x:v>
      </x:c>
      <x:c r="K615" s="33" t="str">
        <x:v>Member 4</x:v>
      </x:c>
    </x:row>
    <x:row r="616" ht="24" customHeight="1">
      <x:c r="A616" s="33" t="str">
        <x:v>ESCA_HSE_04_AI_IoT_Integrations_Audit_Sample_Data.xlsx</x:v>
      </x:c>
      <x:c r="B616" s="33" t="str">
        <x:v>Automation_Rules</x:v>
      </x:c>
      <x:c r="C616" s="33" t="str">
        <x:v>threshold_unit</x:v>
      </x:c>
      <x:c r="D616" s="33" t="str">
        <x:v>text</x:v>
      </x:c>
      <x:c r="E616" s="34" t="b">
        <x:v>1</x:v>
      </x:c>
      <x:c r="F616" s="33" t="str"/>
      <x:c r="G616" s="50" t="str">
        <x:v>Threshold unit</x:v>
      </x:c>
      <x:c r="H616" s="33" t="str">
        <x:v>minutes</x:v>
      </x:c>
      <x:c r="I616" s="50" t="str"/>
      <x:c r="J616" s="33" t="str">
        <x:v>INTERNAL_SAMPLE</x:v>
      </x:c>
      <x:c r="K616" s="33" t="str">
        <x:v>Member 4</x:v>
      </x:c>
    </x:row>
    <x:row r="617" ht="24" customHeight="1">
      <x:c r="A617" s="33" t="str">
        <x:v>ESCA_HSE_04_AI_IoT_Integrations_Audit_Sample_Data.xlsx</x:v>
      </x:c>
      <x:c r="B617" s="33" t="str">
        <x:v>Automation_Runs</x:v>
      </x:c>
      <x:c r="C617" s="33" t="str">
        <x:v>run_id</x:v>
      </x:c>
      <x:c r="D617" s="33" t="str">
        <x:v>id</x:v>
      </x:c>
      <x:c r="E617" s="34" t="b">
        <x:v>1</x:v>
      </x:c>
      <x:c r="F617" s="33" t="str">
        <x:v>PK</x:v>
      </x:c>
      <x:c r="G617" s="50" t="str">
        <x:v>Job run identifier</x:v>
      </x:c>
      <x:c r="H617" s="33" t="str">
        <x:v>RUN-001</x:v>
      </x:c>
      <x:c r="I617" s="50" t="str"/>
      <x:c r="J617" s="33" t="str">
        <x:v>INTERNAL_SAMPLE</x:v>
      </x:c>
      <x:c r="K617" s="33" t="str">
        <x:v>Member 4</x:v>
      </x:c>
    </x:row>
    <x:row r="618" ht="24" customHeight="1">
      <x:c r="A618" s="33" t="str">
        <x:v>ESCA_HSE_04_AI_IoT_Integrations_Audit_Sample_Data.xlsx</x:v>
      </x:c>
      <x:c r="B618" s="33" t="str">
        <x:v>Automation_Runs</x:v>
      </x:c>
      <x:c r="C618" s="33" t="str">
        <x:v>rule_id</x:v>
      </x:c>
      <x:c r="D618" s="33" t="str">
        <x:v>id</x:v>
      </x:c>
      <x:c r="E618" s="34" t="b">
        <x:v>1</x:v>
      </x:c>
      <x:c r="F618" s="33" t="str">
        <x:v>FK -&gt; Automation_Rules.rule_id</x:v>
      </x:c>
      <x:c r="G618" s="50" t="str">
        <x:v>Automation rule</x:v>
      </x:c>
      <x:c r="H618" s="33" t="str">
        <x:v>AUT-001</x:v>
      </x:c>
      <x:c r="I618" s="50" t="str"/>
      <x:c r="J618" s="33" t="str">
        <x:v>INTERNAL_SAMPLE</x:v>
      </x:c>
      <x:c r="K618" s="33" t="str">
        <x:v>Member 4</x:v>
      </x:c>
    </x:row>
    <x:row r="619" ht="24" customHeight="1">
      <x:c r="A619" s="33" t="str">
        <x:v>ESCA_HSE_04_AI_IoT_Integrations_Audit_Sample_Data.xlsx</x:v>
      </x:c>
      <x:c r="B619" s="33" t="str">
        <x:v>Automation_Runs</x:v>
      </x:c>
      <x:c r="C619" s="33" t="str">
        <x:v>started_at</x:v>
      </x:c>
      <x:c r="D619" s="33" t="str">
        <x:v>datetime</x:v>
      </x:c>
      <x:c r="E619" s="34" t="b">
        <x:v>1</x:v>
      </x:c>
      <x:c r="F619" s="33" t="str"/>
      <x:c r="G619" s="50" t="str">
        <x:v>Run start</x:v>
      </x:c>
      <x:c r="H619" s="33" t="n">
        <x:v>46246.25347222222</x:v>
      </x:c>
      <x:c r="I619" s="50" t="str"/>
      <x:c r="J619" s="33" t="str">
        <x:v>INTERNAL_SAMPLE</x:v>
      </x:c>
      <x:c r="K619" s="33" t="str">
        <x:v>Member 4</x:v>
      </x:c>
    </x:row>
    <x:row r="620" ht="24" customHeight="1">
      <x:c r="A620" s="33" t="str">
        <x:v>ESCA_HSE_04_AI_IoT_Integrations_Audit_Sample_Data.xlsx</x:v>
      </x:c>
      <x:c r="B620" s="33" t="str">
        <x:v>Automation_Runs</x:v>
      </x:c>
      <x:c r="C620" s="33" t="str">
        <x:v>finished_at</x:v>
      </x:c>
      <x:c r="D620" s="33" t="str">
        <x:v>datetime</x:v>
      </x:c>
      <x:c r="E620" s="34" t="b">
        <x:v>1</x:v>
      </x:c>
      <x:c r="F620" s="33" t="str"/>
      <x:c r="G620" s="50" t="str">
        <x:v>Run finish</x:v>
      </x:c>
      <x:c r="H620" s="33" t="n">
        <x:v>46246.25399305556</x:v>
      </x:c>
      <x:c r="I620" s="50" t="str"/>
      <x:c r="J620" s="33" t="str">
        <x:v>INTERNAL_SAMPLE</x:v>
      </x:c>
      <x:c r="K620" s="33" t="str">
        <x:v>Member 4</x:v>
      </x:c>
    </x:row>
    <x:row r="621" ht="24" customHeight="1">
      <x:c r="A621" s="33" t="str">
        <x:v>ESCA_HSE_04_AI_IoT_Integrations_Audit_Sample_Data.xlsx</x:v>
      </x:c>
      <x:c r="B621" s="33" t="str">
        <x:v>Automation_Runs</x:v>
      </x:c>
      <x:c r="C621" s="33" t="str">
        <x:v>records_scanned</x:v>
      </x:c>
      <x:c r="D621" s="33" t="str">
        <x:v>integer</x:v>
      </x:c>
      <x:c r="E621" s="34" t="b">
        <x:v>1</x:v>
      </x:c>
      <x:c r="F621" s="33" t="str"/>
      <x:c r="G621" s="50" t="str">
        <x:v>Rows scanned</x:v>
      </x:c>
      <x:c r="H621" s="33" t="str">
        <x:v>12</x:v>
      </x:c>
      <x:c r="I621" s="50" t="str"/>
      <x:c r="J621" s="33" t="str">
        <x:v>INTERNAL_SAMPLE</x:v>
      </x:c>
      <x:c r="K621" s="33" t="str">
        <x:v>Member 4</x:v>
      </x:c>
    </x:row>
    <x:row r="622" ht="24" customHeight="1">
      <x:c r="A622" s="33" t="str">
        <x:v>ESCA_HSE_04_AI_IoT_Integrations_Audit_Sample_Data.xlsx</x:v>
      </x:c>
      <x:c r="B622" s="33" t="str">
        <x:v>Automation_Runs</x:v>
      </x:c>
      <x:c r="C622" s="33" t="str">
        <x:v>records_matched</x:v>
      </x:c>
      <x:c r="D622" s="33" t="str">
        <x:v>integer</x:v>
      </x:c>
      <x:c r="E622" s="34" t="b">
        <x:v>1</x:v>
      </x:c>
      <x:c r="F622" s="33" t="str"/>
      <x:c r="G622" s="50" t="str">
        <x:v>Rows matching rule</x:v>
      </x:c>
      <x:c r="H622" s="33" t="str">
        <x:v>1</x:v>
      </x:c>
      <x:c r="I622" s="50" t="str"/>
      <x:c r="J622" s="33" t="str">
        <x:v>INTERNAL_SAMPLE</x:v>
      </x:c>
      <x:c r="K622" s="33" t="str">
        <x:v>Member 4</x:v>
      </x:c>
    </x:row>
    <x:row r="623" ht="24" customHeight="1">
      <x:c r="A623" s="33" t="str">
        <x:v>ESCA_HSE_04_AI_IoT_Integrations_Audit_Sample_Data.xlsx</x:v>
      </x:c>
      <x:c r="B623" s="33" t="str">
        <x:v>Automation_Runs</x:v>
      </x:c>
      <x:c r="C623" s="33" t="str">
        <x:v>actions_requested</x:v>
      </x:c>
      <x:c r="D623" s="33" t="str">
        <x:v>integer</x:v>
      </x:c>
      <x:c r="E623" s="34" t="b">
        <x:v>1</x:v>
      </x:c>
      <x:c r="F623" s="33" t="str"/>
      <x:c r="G623" s="50" t="str">
        <x:v>Actions requested</x:v>
      </x:c>
      <x:c r="H623" s="33" t="str">
        <x:v>1</x:v>
      </x:c>
      <x:c r="I623" s="50" t="str"/>
      <x:c r="J623" s="33" t="str">
        <x:v>INTERNAL_SAMPLE</x:v>
      </x:c>
      <x:c r="K623" s="33" t="str">
        <x:v>Member 4</x:v>
      </x:c>
    </x:row>
    <x:row r="624" ht="24" customHeight="1">
      <x:c r="A624" s="33" t="str">
        <x:v>ESCA_HSE_04_AI_IoT_Integrations_Audit_Sample_Data.xlsx</x:v>
      </x:c>
      <x:c r="B624" s="33" t="str">
        <x:v>Automation_Runs</x:v>
      </x:c>
      <x:c r="C624" s="33" t="str">
        <x:v>actions_succeeded</x:v>
      </x:c>
      <x:c r="D624" s="33" t="str">
        <x:v>integer</x:v>
      </x:c>
      <x:c r="E624" s="34" t="b">
        <x:v>1</x:v>
      </x:c>
      <x:c r="F624" s="33" t="str"/>
      <x:c r="G624" s="50" t="str">
        <x:v>Actions succeeded</x:v>
      </x:c>
      <x:c r="H624" s="33" t="str">
        <x:v>1</x:v>
      </x:c>
      <x:c r="I624" s="50" t="str"/>
      <x:c r="J624" s="33" t="str">
        <x:v>INTERNAL_SAMPLE</x:v>
      </x:c>
      <x:c r="K624" s="33" t="str">
        <x:v>Member 4</x:v>
      </x:c>
    </x:row>
    <x:row r="625" ht="24" customHeight="1">
      <x:c r="A625" s="33" t="str">
        <x:v>ESCA_HSE_04_AI_IoT_Integrations_Audit_Sample_Data.xlsx</x:v>
      </x:c>
      <x:c r="B625" s="33" t="str">
        <x:v>Automation_Runs</x:v>
      </x:c>
      <x:c r="C625" s="33" t="str">
        <x:v>actions_failed</x:v>
      </x:c>
      <x:c r="D625" s="33" t="str">
        <x:v>integer</x:v>
      </x:c>
      <x:c r="E625" s="34" t="b">
        <x:v>1</x:v>
      </x:c>
      <x:c r="F625" s="33" t="str"/>
      <x:c r="G625" s="50" t="str">
        <x:v>Actions failed</x:v>
      </x:c>
      <x:c r="H625" s="33" t="str">
        <x:v>0</x:v>
      </x:c>
      <x:c r="I625" s="50" t="str"/>
      <x:c r="J625" s="33" t="str">
        <x:v>INTERNAL_SAMPLE</x:v>
      </x:c>
      <x:c r="K625" s="33" t="str">
        <x:v>Member 4</x:v>
      </x:c>
    </x:row>
    <x:row r="626" ht="24" customHeight="1">
      <x:c r="A626" s="33" t="str">
        <x:v>ESCA_HSE_04_AI_IoT_Integrations_Audit_Sample_Data.xlsx</x:v>
      </x:c>
      <x:c r="B626" s="33" t="str">
        <x:v>Automation_Runs</x:v>
      </x:c>
      <x:c r="C626" s="33" t="str">
        <x:v>status</x:v>
      </x:c>
      <x:c r="D626" s="33" t="str">
        <x:v>enum</x:v>
      </x:c>
      <x:c r="E626" s="34" t="b">
        <x:v>1</x:v>
      </x:c>
      <x:c r="F626" s="33" t="str"/>
      <x:c r="G626" s="50" t="str">
        <x:v>Run status</x:v>
      </x:c>
      <x:c r="H626" s="33" t="str">
        <x:v>SUCCESS</x:v>
      </x:c>
      <x:c r="I626" s="50" t="str">
        <x:v>SUCCESS | PARTIAL_FAILURE | FAILED</x:v>
      </x:c>
      <x:c r="J626" s="33" t="str">
        <x:v>INTERNAL_SAMPLE</x:v>
      </x:c>
      <x:c r="K626" s="33" t="str">
        <x:v>Member 4</x:v>
      </x:c>
    </x:row>
    <x:row r="627" ht="24" customHeight="1">
      <x:c r="A627" s="33" t="str">
        <x:v>ESCA_HSE_04_AI_IoT_Integrations_Audit_Sample_Data.xlsx</x:v>
      </x:c>
      <x:c r="B627" s="33" t="str">
        <x:v>Automation_Runs</x:v>
      </x:c>
      <x:c r="C627" s="33" t="str">
        <x:v>error_summary</x:v>
      </x:c>
      <x:c r="D627" s="33" t="str">
        <x:v>long_text</x:v>
      </x:c>
      <x:c r="E627" s="34" t="b">
        <x:v>0</x:v>
      </x:c>
      <x:c r="F627" s="33" t="str"/>
      <x:c r="G627" s="50" t="str">
        <x:v>Non-sensitive error summary</x:v>
      </x:c>
      <x:c r="H627" s="33" t="str">
        <x:v>Spring notification API returned 503 for one action</x:v>
      </x:c>
      <x:c r="I627" s="50" t="str"/>
      <x:c r="J627" s="33" t="str">
        <x:v>INTERNAL_SAMPLE</x:v>
      </x:c>
      <x:c r="K627" s="33" t="str">
        <x:v>Member 4</x:v>
      </x:c>
    </x:row>
    <x:row r="628" ht="24" customHeight="1">
      <x:c r="A628" s="33" t="str">
        <x:v>ESCA_HSE_04_AI_IoT_Integrations_Audit_Sample_Data.xlsx</x:v>
      </x:c>
      <x:c r="B628" s="33" t="str">
        <x:v>Automation_Runs</x:v>
      </x:c>
      <x:c r="C628" s="33" t="str">
        <x:v>correlation_id</x:v>
      </x:c>
      <x:c r="D628" s="33" t="str">
        <x:v>id</x:v>
      </x:c>
      <x:c r="E628" s="34" t="b">
        <x:v>1</x:v>
      </x:c>
      <x:c r="F628" s="33" t="str"/>
      <x:c r="G628" s="50" t="str">
        <x:v>Trace correlation</x:v>
      </x:c>
      <x:c r="H628" s="33" t="str">
        <x:v>CORR-RUN-001</x:v>
      </x:c>
      <x:c r="I628" s="50" t="str"/>
      <x:c r="J628" s="33" t="str">
        <x:v>INTERNAL_SAMPLE</x:v>
      </x:c>
      <x:c r="K628" s="33" t="str">
        <x:v>Member 4</x:v>
      </x:c>
    </x:row>
    <x:row r="629" ht="24" customHeight="1">
      <x:c r="A629" s="33" t="str">
        <x:v>ESCA_HSE_04_AI_IoT_Integrations_Audit_Sample_Data.xlsx</x:v>
      </x:c>
      <x:c r="B629" s="33" t="str">
        <x:v>Automation_Actions</x:v>
      </x:c>
      <x:c r="C629" s="33" t="str">
        <x:v>action_id</x:v>
      </x:c>
      <x:c r="D629" s="33" t="str">
        <x:v>id</x:v>
      </x:c>
      <x:c r="E629" s="34" t="b">
        <x:v>1</x:v>
      </x:c>
      <x:c r="F629" s="33" t="str">
        <x:v>PK</x:v>
      </x:c>
      <x:c r="G629" s="50" t="str">
        <x:v>Automation API action</x:v>
      </x:c>
      <x:c r="H629" s="33" t="str">
        <x:v>ACT-0001</x:v>
      </x:c>
      <x:c r="I629" s="50" t="str"/>
      <x:c r="J629" s="33" t="str">
        <x:v>INTERNAL_SAMPLE</x:v>
      </x:c>
      <x:c r="K629" s="33" t="str">
        <x:v>Member 4</x:v>
      </x:c>
    </x:row>
    <x:row r="630" ht="24" customHeight="1">
      <x:c r="A630" s="33" t="str">
        <x:v>ESCA_HSE_04_AI_IoT_Integrations_Audit_Sample_Data.xlsx</x:v>
      </x:c>
      <x:c r="B630" s="33" t="str">
        <x:v>Automation_Actions</x:v>
      </x:c>
      <x:c r="C630" s="33" t="str">
        <x:v>run_id</x:v>
      </x:c>
      <x:c r="D630" s="33" t="str">
        <x:v>id</x:v>
      </x:c>
      <x:c r="E630" s="34" t="b">
        <x:v>1</x:v>
      </x:c>
      <x:c r="F630" s="33" t="str">
        <x:v>FK -&gt; Automation_Runs.run_id</x:v>
      </x:c>
      <x:c r="G630" s="50" t="str">
        <x:v>Parent run</x:v>
      </x:c>
      <x:c r="H630" s="33" t="str">
        <x:v>RUN-001</x:v>
      </x:c>
      <x:c r="I630" s="50" t="str"/>
      <x:c r="J630" s="33" t="str">
        <x:v>INTERNAL_SAMPLE</x:v>
      </x:c>
      <x:c r="K630" s="33" t="str">
        <x:v>Member 4</x:v>
      </x:c>
    </x:row>
    <x:row r="631" ht="24" customHeight="1">
      <x:c r="A631" s="33" t="str">
        <x:v>ESCA_HSE_04_AI_IoT_Integrations_Audit_Sample_Data.xlsx</x:v>
      </x:c>
      <x:c r="B631" s="33" t="str">
        <x:v>Automation_Actions</x:v>
      </x:c>
      <x:c r="C631" s="33" t="str">
        <x:v>rule_id</x:v>
      </x:c>
      <x:c r="D631" s="33" t="str">
        <x:v>id</x:v>
      </x:c>
      <x:c r="E631" s="34" t="b">
        <x:v>1</x:v>
      </x:c>
      <x:c r="F631" s="33" t="str">
        <x:v>FK -&gt; Automation_Rules.rule_id</x:v>
      </x:c>
      <x:c r="G631" s="50" t="str">
        <x:v>Automation rule</x:v>
      </x:c>
      <x:c r="H631" s="33" t="str">
        <x:v>AUT-001</x:v>
      </x:c>
      <x:c r="I631" s="50" t="str"/>
      <x:c r="J631" s="33" t="str">
        <x:v>INTERNAL_SAMPLE</x:v>
      </x:c>
      <x:c r="K631" s="33" t="str">
        <x:v>Member 4</x:v>
      </x:c>
    </x:row>
    <x:row r="632" ht="24" customHeight="1">
      <x:c r="A632" s="33" t="str">
        <x:v>ESCA_HSE_04_AI_IoT_Integrations_Audit_Sample_Data.xlsx</x:v>
      </x:c>
      <x:c r="B632" s="33" t="str">
        <x:v>Automation_Actions</x:v>
      </x:c>
      <x:c r="C632" s="33" t="str">
        <x:v>entity_type</x:v>
      </x:c>
      <x:c r="D632" s="33" t="str">
        <x:v>enum</x:v>
      </x:c>
      <x:c r="E632" s="34" t="b">
        <x:v>1</x:v>
      </x:c>
      <x:c r="F632" s="33" t="str"/>
      <x:c r="G632" s="50" t="str">
        <x:v>Target entity</x:v>
      </x:c>
      <x:c r="H632" s="33" t="str">
        <x:v>PERMIT</x:v>
      </x:c>
      <x:c r="I632" s="50" t="str"/>
      <x:c r="J632" s="33" t="str">
        <x:v>INTERNAL_SAMPLE</x:v>
      </x:c>
      <x:c r="K632" s="33" t="str">
        <x:v>Member 4</x:v>
      </x:c>
    </x:row>
    <x:row r="633" ht="24" customHeight="1">
      <x:c r="A633" s="33" t="str">
        <x:v>ESCA_HSE_04_AI_IoT_Integrations_Audit_Sample_Data.xlsx</x:v>
      </x:c>
      <x:c r="B633" s="33" t="str">
        <x:v>Automation_Actions</x:v>
      </x:c>
      <x:c r="C633" s="33" t="str">
        <x:v>entity_id</x:v>
      </x:c>
      <x:c r="D633" s="33" t="str">
        <x:v>id</x:v>
      </x:c>
      <x:c r="E633" s="34" t="b">
        <x:v>1</x:v>
      </x:c>
      <x:c r="F633" s="33" t="str"/>
      <x:c r="G633" s="50" t="str">
        <x:v>Target ID</x:v>
      </x:c>
      <x:c r="H633" s="33" t="str">
        <x:v>PTW-2026-0412</x:v>
      </x:c>
      <x:c r="I633" s="50" t="str"/>
      <x:c r="J633" s="33" t="str">
        <x:v>INTERNAL_SAMPLE</x:v>
      </x:c>
      <x:c r="K633" s="33" t="str">
        <x:v>Member 4</x:v>
      </x:c>
    </x:row>
    <x:row r="634" ht="24" customHeight="1">
      <x:c r="A634" s="33" t="str">
        <x:v>ESCA_HSE_04_AI_IoT_Integrations_Audit_Sample_Data.xlsx</x:v>
      </x:c>
      <x:c r="B634" s="33" t="str">
        <x:v>Automation_Actions</x:v>
      </x:c>
      <x:c r="C634" s="33" t="str">
        <x:v>action_type</x:v>
      </x:c>
      <x:c r="D634" s="33" t="str">
        <x:v>enum</x:v>
      </x:c>
      <x:c r="E634" s="34" t="b">
        <x:v>1</x:v>
      </x:c>
      <x:c r="F634" s="33" t="str"/>
      <x:c r="G634" s="50" t="str">
        <x:v>Requested action</x:v>
      </x:c>
      <x:c r="H634" s="33" t="str">
        <x:v>FLAG_OR_NOTIFY</x:v>
      </x:c>
      <x:c r="I634" s="50" t="str"/>
      <x:c r="J634" s="33" t="str">
        <x:v>INTERNAL_SAMPLE</x:v>
      </x:c>
      <x:c r="K634" s="33" t="str">
        <x:v>Member 4</x:v>
      </x:c>
    </x:row>
    <x:row r="635" ht="24" customHeight="1">
      <x:c r="A635" s="33" t="str">
        <x:v>ESCA_HSE_04_AI_IoT_Integrations_Audit_Sample_Data.xlsx</x:v>
      </x:c>
      <x:c r="B635" s="33" t="str">
        <x:v>Automation_Actions</x:v>
      </x:c>
      <x:c r="C635" s="33" t="str">
        <x:v>spring_endpoint</x:v>
      </x:c>
      <x:c r="D635" s="33" t="str">
        <x:v>text</x:v>
      </x:c>
      <x:c r="E635" s="34" t="b">
        <x:v>1</x:v>
      </x:c>
      <x:c r="F635" s="33" t="str"/>
      <x:c r="G635" s="50" t="str">
        <x:v>Approved Spring API endpoint</x:v>
      </x:c>
      <x:c r="H635" s="33" t="str">
        <x:v>/api/v1/permits/PTW-2026-0412/automation-flag</x:v>
      </x:c>
      <x:c r="I635" s="50" t="str"/>
      <x:c r="J635" s="33" t="str">
        <x:v>INTERNAL_SAMPLE</x:v>
      </x:c>
      <x:c r="K635" s="33" t="str">
        <x:v>Member 4</x:v>
      </x:c>
    </x:row>
    <x:row r="636" ht="24" customHeight="1">
      <x:c r="A636" s="33" t="str">
        <x:v>ESCA_HSE_04_AI_IoT_Integrations_Audit_Sample_Data.xlsx</x:v>
      </x:c>
      <x:c r="B636" s="33" t="str">
        <x:v>Automation_Actions</x:v>
      </x:c>
      <x:c r="C636" s="33" t="str">
        <x:v>requested_at</x:v>
      </x:c>
      <x:c r="D636" s="33" t="str">
        <x:v>datetime</x:v>
      </x:c>
      <x:c r="E636" s="34" t="b">
        <x:v>1</x:v>
      </x:c>
      <x:c r="F636" s="33" t="str"/>
      <x:c r="G636" s="50" t="str">
        <x:v>Request time</x:v>
      </x:c>
      <x:c r="H636" s="33" t="n">
        <x:v>46247.368055555555</x:v>
      </x:c>
      <x:c r="I636" s="50" t="str"/>
      <x:c r="J636" s="33" t="str">
        <x:v>INTERNAL_SAMPLE</x:v>
      </x:c>
      <x:c r="K636" s="33" t="str">
        <x:v>Member 4</x:v>
      </x:c>
    </x:row>
    <x:row r="637" ht="24" customHeight="1">
      <x:c r="A637" s="33" t="str">
        <x:v>ESCA_HSE_04_AI_IoT_Integrations_Audit_Sample_Data.xlsx</x:v>
      </x:c>
      <x:c r="B637" s="33" t="str">
        <x:v>Automation_Actions</x:v>
      </x:c>
      <x:c r="C637" s="33" t="str">
        <x:v>http_status</x:v>
      </x:c>
      <x:c r="D637" s="33" t="str">
        <x:v>integer</x:v>
      </x:c>
      <x:c r="E637" s="34" t="b">
        <x:v>1</x:v>
      </x:c>
      <x:c r="F637" s="33" t="str"/>
      <x:c r="G637" s="50" t="str">
        <x:v>HTTP status</x:v>
      </x:c>
      <x:c r="H637" s="33" t="str">
        <x:v>200</x:v>
      </x:c>
      <x:c r="I637" s="50" t="str"/>
      <x:c r="J637" s="33" t="str">
        <x:v>INTERNAL_SAMPLE</x:v>
      </x:c>
      <x:c r="K637" s="33" t="str">
        <x:v>Member 4</x:v>
      </x:c>
    </x:row>
    <x:row r="638" ht="24" customHeight="1">
      <x:c r="A638" s="33" t="str">
        <x:v>ESCA_HSE_04_AI_IoT_Integrations_Audit_Sample_Data.xlsx</x:v>
      </x:c>
      <x:c r="B638" s="33" t="str">
        <x:v>Automation_Actions</x:v>
      </x:c>
      <x:c r="C638" s="33" t="str">
        <x:v>outcome</x:v>
      </x:c>
      <x:c r="D638" s="33" t="str">
        <x:v>enum</x:v>
      </x:c>
      <x:c r="E638" s="34" t="b">
        <x:v>1</x:v>
      </x:c>
      <x:c r="F638" s="33" t="str"/>
      <x:c r="G638" s="50" t="str">
        <x:v>Action outcome</x:v>
      </x:c>
      <x:c r="H638" s="33" t="str">
        <x:v>SUCCESS</x:v>
      </x:c>
      <x:c r="I638" s="50" t="str">
        <x:v>SUCCESS | RETRY_SCHEDULED | FAILED | DENIED</x:v>
      </x:c>
      <x:c r="J638" s="33" t="str">
        <x:v>INTERNAL_SAMPLE</x:v>
      </x:c>
      <x:c r="K638" s="33" t="str">
        <x:v>Member 4</x:v>
      </x:c>
    </x:row>
    <x:row r="639" ht="24" customHeight="1">
      <x:c r="A639" s="33" t="str">
        <x:v>ESCA_HSE_04_AI_IoT_Integrations_Audit_Sample_Data.xlsx</x:v>
      </x:c>
      <x:c r="B639" s="33" t="str">
        <x:v>Automation_Actions</x:v>
      </x:c>
      <x:c r="C639" s="33" t="str">
        <x:v>idempotency_key</x:v>
      </x:c>
      <x:c r="D639" s="33" t="str">
        <x:v>text</x:v>
      </x:c>
      <x:c r="E639" s="34" t="b">
        <x:v>1</x:v>
      </x:c>
      <x:c r="F639" s="33" t="str"/>
      <x:c r="G639" s="50" t="str">
        <x:v>Deduplication key</x:v>
      </x:c>
      <x:c r="H639" s="33" t="str">
        <x:v>permit_expiring:PTW-2026-0412:2026-08-13</x:v>
      </x:c>
      <x:c r="I639" s="50" t="str"/>
      <x:c r="J639" s="33" t="str">
        <x:v>INTERNAL_SAMPLE</x:v>
      </x:c>
      <x:c r="K639" s="33" t="str">
        <x:v>Member 4</x:v>
      </x:c>
    </x:row>
    <x:row r="640" ht="24" customHeight="1">
      <x:c r="A640" s="33" t="str">
        <x:v>ESCA_HSE_04_AI_IoT_Integrations_Audit_Sample_Data.xlsx</x:v>
      </x:c>
      <x:c r="B640" s="33" t="str">
        <x:v>Automation_Actions</x:v>
      </x:c>
      <x:c r="C640" s="33" t="str">
        <x:v>audit_id</x:v>
      </x:c>
      <x:c r="D640" s="33" t="str">
        <x:v>id</x:v>
      </x:c>
      <x:c r="E640" s="34" t="b">
        <x:v>1</x:v>
      </x:c>
      <x:c r="F640" s="33" t="str">
        <x:v>FK -&gt; Audit_Log.audit_id</x:v>
      </x:c>
      <x:c r="G640" s="50" t="str">
        <x:v>Audit entry</x:v>
      </x:c>
      <x:c r="H640" s="33" t="str">
        <x:v>AUD-00001</x:v>
      </x:c>
      <x:c r="I640" s="50" t="str"/>
      <x:c r="J640" s="33" t="str">
        <x:v>INTERNAL_SAMPLE</x:v>
      </x:c>
      <x:c r="K640" s="33" t="str">
        <x:v>Member 4</x:v>
      </x:c>
    </x:row>
    <x:row r="641" ht="24" customHeight="1">
      <x:c r="A641" s="33" t="str">
        <x:v>ESCA_HSE_04_AI_IoT_Integrations_Audit_Sample_Data.xlsx</x:v>
      </x:c>
      <x:c r="B641" s="33" t="str">
        <x:v>Automation_Actions</x:v>
      </x:c>
      <x:c r="C641" s="33" t="str">
        <x:v>error_summary</x:v>
      </x:c>
      <x:c r="D641" s="33" t="str">
        <x:v>text</x:v>
      </x:c>
      <x:c r="E641" s="34" t="b">
        <x:v>0</x:v>
      </x:c>
      <x:c r="F641" s="33" t="str"/>
      <x:c r="G641" s="50" t="str">
        <x:v>Non-sensitive error summary</x:v>
      </x:c>
      <x:c r="H641" s="33" t="str">
        <x:v>Synthetic transient API failure</x:v>
      </x:c>
      <x:c r="I641" s="50" t="str"/>
      <x:c r="J641" s="33" t="str">
        <x:v>INTERNAL_SAMPLE</x:v>
      </x:c>
      <x:c r="K641" s="33" t="str">
        <x:v>Member 4</x:v>
      </x:c>
    </x:row>
    <x:row r="642" ht="24" customHeight="1">
      <x:c r="A642" s="33" t="str">
        <x:v>ESCA_HSE_01_Master_Data_and_Dictionary.xlsx</x:v>
      </x:c>
      <x:c r="B642" s="33" t="str">
        <x:v>Package_Index</x:v>
      </x:c>
      <x:c r="C642" s="33" t="str">
        <x:v>file_name</x:v>
      </x:c>
      <x:c r="D642" s="33" t="str">
        <x:v>text</x:v>
      </x:c>
      <x:c r="E642" s="34" t="b">
        <x:v>1</x:v>
      </x:c>
      <x:c r="F642" s="33" t="str">
        <x:v>PK</x:v>
      </x:c>
      <x:c r="G642" s="50" t="str">
        <x:v>Workbook file name</x:v>
      </x:c>
      <x:c r="H642" s="33" t="str">
        <x:v>ESCA_HSE_01_Master_Data_and_Dictionary.xlsx</x:v>
      </x:c>
      <x:c r="I642" s="50" t="str"/>
      <x:c r="J642" s="33" t="str">
        <x:v>INTERNAL_SAMPLE</x:v>
      </x:c>
      <x:c r="K642" s="33" t="str">
        <x:v>Whole team</x:v>
      </x:c>
    </x:row>
    <x:row r="643" ht="24" customHeight="1">
      <x:c r="A643" s="33" t="str">
        <x:v>ESCA_HSE_01_Master_Data_and_Dictionary.xlsx</x:v>
      </x:c>
      <x:c r="B643" s="33" t="str">
        <x:v>Package_Index</x:v>
      </x:c>
      <x:c r="C643" s="33" t="str">
        <x:v>workbook_role</x:v>
      </x:c>
      <x:c r="D643" s="33" t="str">
        <x:v>text</x:v>
      </x:c>
      <x:c r="E643" s="34" t="b">
        <x:v>1</x:v>
      </x:c>
      <x:c r="F643" s="33" t="str"/>
      <x:c r="G643" s="50" t="str">
        <x:v>Package purpose</x:v>
      </x:c>
      <x:c r="H643" s="33" t="str">
        <x:v>Reference contract</x:v>
      </x:c>
      <x:c r="I643" s="50" t="str"/>
      <x:c r="J643" s="33" t="str">
        <x:v>INTERNAL_SAMPLE</x:v>
      </x:c>
      <x:c r="K643" s="33" t="str">
        <x:v>Whole team</x:v>
      </x:c>
    </x:row>
    <x:row r="644" ht="24" customHeight="1">
      <x:c r="A644" s="33" t="str">
        <x:v>ESCA_HSE_01_Master_Data_and_Dictionary.xlsx</x:v>
      </x:c>
      <x:c r="B644" s="33" t="str">
        <x:v>Package_Index</x:v>
      </x:c>
      <x:c r="C644" s="33" t="str">
        <x:v>contents</x:v>
      </x:c>
      <x:c r="D644" s="33" t="str">
        <x:v>long_text</x:v>
      </x:c>
      <x:c r="E644" s="34" t="b">
        <x:v>1</x:v>
      </x:c>
      <x:c r="F644" s="33" t="str"/>
      <x:c r="G644" s="50" t="str">
        <x:v>Included datasets</x:v>
      </x:c>
      <x:c r="H644" s="33" t="str">
        <x:v>Dictionary, statuses, relationships, departments, zones, employees, users, RBAC, architecture services and environments</x:v>
      </x:c>
      <x:c r="I644" s="50" t="str"/>
      <x:c r="J644" s="33" t="str">
        <x:v>INTERNAL_SAMPLE</x:v>
      </x:c>
      <x:c r="K644" s="33" t="str">
        <x:v>Whole team</x:v>
      </x:c>
    </x:row>
    <x:row r="645" ht="24" customHeight="1">
      <x:c r="A645" s="33" t="str">
        <x:v>ESCA_HSE_01_Master_Data_and_Dictionary.xlsx</x:v>
      </x:c>
      <x:c r="B645" s="33" t="str">
        <x:v>Package_Index</x:v>
      </x:c>
      <x:c r="C645" s="33" t="str">
        <x:v>primary_users</x:v>
      </x:c>
      <x:c r="D645" s="33" t="str">
        <x:v>text</x:v>
      </x:c>
      <x:c r="E645" s="34" t="b">
        <x:v>1</x:v>
      </x:c>
      <x:c r="F645" s="33" t="str"/>
      <x:c r="G645" s="50" t="str">
        <x:v>Main consumers</x:v>
      </x:c>
      <x:c r="H645" s="33" t="str">
        <x:v>Whole team</x:v>
      </x:c>
      <x:c r="I645" s="50" t="str"/>
      <x:c r="J645" s="33" t="str">
        <x:v>INTERNAL_SAMPLE</x:v>
      </x:c>
      <x:c r="K645" s="33" t="str">
        <x:v>Whole team</x:v>
      </x:c>
    </x:row>
    <x:row r="646" ht="24" customHeight="1">
      <x:c r="A646" s="33" t="str">
        <x:v>ESCA_HSE_01_Master_Data_and_Dictionary.xlsx</x:v>
      </x:c>
      <x:c r="B646" s="33" t="str">
        <x:v>Status_Values</x:v>
      </x:c>
      <x:c r="C646" s="33" t="str">
        <x:v>entity</x:v>
      </x:c>
      <x:c r="D646" s="33" t="str">
        <x:v>text</x:v>
      </x:c>
      <x:c r="E646" s="34" t="b">
        <x:v>1</x:v>
      </x:c>
      <x:c r="F646" s="33" t="str"/>
      <x:c r="G646" s="50" t="str">
        <x:v>Dataset/entity name</x:v>
      </x:c>
      <x:c r="H646" s="33" t="str">
        <x:v>Departments</x:v>
      </x:c>
      <x:c r="I646" s="50" t="str"/>
      <x:c r="J646" s="33" t="str">
        <x:v>INTERNAL_SAMPLE</x:v>
      </x:c>
      <x:c r="K646" s="33" t="str">
        <x:v>Whole team</x:v>
      </x:c>
    </x:row>
    <x:row r="647" ht="24" customHeight="1">
      <x:c r="A647" s="33" t="str">
        <x:v>ESCA_HSE_01_Master_Data_and_Dictionary.xlsx</x:v>
      </x:c>
      <x:c r="B647" s="33" t="str">
        <x:v>Status_Values</x:v>
      </x:c>
      <x:c r="C647" s="33" t="str">
        <x:v>field</x:v>
      </x:c>
      <x:c r="D647" s="33" t="str">
        <x:v>text</x:v>
      </x:c>
      <x:c r="E647" s="34" t="b">
        <x:v>1</x:v>
      </x:c>
      <x:c r="F647" s="33" t="str"/>
      <x:c r="G647" s="50" t="str">
        <x:v>Categorical field</x:v>
      </x:c>
      <x:c r="H647" s="33" t="str">
        <x:v>department_type</x:v>
      </x:c>
      <x:c r="I647" s="50" t="str"/>
      <x:c r="J647" s="33" t="str">
        <x:v>INTERNAL_SAMPLE</x:v>
      </x:c>
      <x:c r="K647" s="33" t="str">
        <x:v>Whole team</x:v>
      </x:c>
    </x:row>
    <x:row r="648" ht="24" customHeight="1">
      <x:c r="A648" s="33" t="str">
        <x:v>ESCA_HSE_01_Master_Data_and_Dictionary.xlsx</x:v>
      </x:c>
      <x:c r="B648" s="33" t="str">
        <x:v>Status_Values</x:v>
      </x:c>
      <x:c r="C648" s="33" t="str">
        <x:v>value</x:v>
      </x:c>
      <x:c r="D648" s="33" t="str">
        <x:v>text</x:v>
      </x:c>
      <x:c r="E648" s="34" t="b">
        <x:v>1</x:v>
      </x:c>
      <x:c r="F648" s="33" t="str"/>
      <x:c r="G648" s="50" t="str">
        <x:v>Allowed value</x:v>
      </x:c>
      <x:c r="H648" s="33" t="str">
        <x:v>PRODUCTION</x:v>
      </x:c>
      <x:c r="I648" s="50" t="str"/>
      <x:c r="J648" s="33" t="str">
        <x:v>INTERNAL_SAMPLE</x:v>
      </x:c>
      <x:c r="K648" s="33" t="str">
        <x:v>Whole team</x:v>
      </x:c>
    </x:row>
    <x:row r="649" ht="24" customHeight="1">
      <x:c r="A649" s="33" t="str">
        <x:v>ESCA_HSE_01_Master_Data_and_Dictionary.xlsx</x:v>
      </x:c>
      <x:c r="B649" s="33" t="str">
        <x:v>Status_Values</x:v>
      </x:c>
      <x:c r="C649" s="33" t="str">
        <x:v>meaning</x:v>
      </x:c>
      <x:c r="D649" s="33" t="str">
        <x:v>long_text</x:v>
      </x:c>
      <x:c r="E649" s="34" t="b">
        <x:v>1</x:v>
      </x:c>
      <x:c r="F649" s="33" t="str"/>
      <x:c r="G649" s="50" t="str">
        <x:v>Human-readable meaning</x:v>
      </x:c>
      <x:c r="H649" s="33" t="str">
        <x:v>Allowed value: PRODUCTION</x:v>
      </x:c>
      <x:c r="I649" s="50" t="str"/>
      <x:c r="J649" s="33" t="str">
        <x:v>INTERNAL_SAMPLE</x:v>
      </x:c>
      <x:c r="K649" s="33" t="str">
        <x:v>Whole team</x:v>
      </x:c>
    </x:row>
    <x:row r="650" ht="24" customHeight="1">
      <x:c r="A650" s="33" t="str">
        <x:v>ESCA_HSE_01_Master_Data_and_Dictionary.xlsx</x:v>
      </x:c>
      <x:c r="B650" s="33" t="str">
        <x:v>Status_Values</x:v>
      </x:c>
      <x:c r="C650" s="33" t="str">
        <x:v>final_state</x:v>
      </x:c>
      <x:c r="D650" s="33" t="str">
        <x:v>boolean</x:v>
      </x:c>
      <x:c r="E650" s="34" t="b">
        <x:v>1</x:v>
      </x:c>
      <x:c r="F650" s="33" t="str"/>
      <x:c r="G650" s="50" t="str">
        <x:v>Whether value is terminal</x:v>
      </x:c>
      <x:c r="H650" s="33" t="str">
        <x:v>false</x:v>
      </x:c>
      <x:c r="I650" s="50" t="str"/>
      <x:c r="J650" s="33" t="str">
        <x:v>INTERNAL_SAMPLE</x:v>
      </x:c>
      <x:c r="K650" s="33" t="str">
        <x:v>Whole team</x:v>
      </x:c>
    </x:row>
    <x:row r="651" ht="24" customHeight="1">
      <x:c r="A651" s="33" t="str">
        <x:v>ESCA_HSE_01_Master_Data_and_Dictionary.xlsx</x:v>
      </x:c>
      <x:c r="B651" s="33" t="str">
        <x:v>Status_Values</x:v>
      </x:c>
      <x:c r="C651" s="33" t="str">
        <x:v>notes</x:v>
      </x:c>
      <x:c r="D651" s="33" t="str">
        <x:v>long_text</x:v>
      </x:c>
      <x:c r="E651" s="34" t="b">
        <x:v>1</x:v>
      </x:c>
      <x:c r="F651" s="33" t="str"/>
      <x:c r="G651" s="50" t="str">
        <x:v>Usage note</x:v>
      </x:c>
      <x:c r="H651" s="33" t="str">
        <x:v>Use exactly as written in API/database contracts</x:v>
      </x:c>
      <x:c r="I651" s="50" t="str"/>
      <x:c r="J651" s="33" t="str">
        <x:v>INTERNAL_SAMPLE</x:v>
      </x:c>
      <x:c r="K651" s="33" t="str">
        <x:v>Whole team</x:v>
      </x:c>
    </x:row>
    <x:row r="652" ht="24" customHeight="1">
      <x:c r="A652" s="33" t="str">
        <x:v>ESCA_HSE_01_Master_Data_and_Dictionary.xlsx</x:v>
      </x:c>
      <x:c r="B652" s="33" t="str">
        <x:v>Relationships</x:v>
      </x:c>
      <x:c r="C652" s="33" t="str">
        <x:v>relationship_id</x:v>
      </x:c>
      <x:c r="D652" s="33" t="str">
        <x:v>id</x:v>
      </x:c>
      <x:c r="E652" s="34" t="b">
        <x:v>1</x:v>
      </x:c>
      <x:c r="F652" s="33" t="str">
        <x:v>PK</x:v>
      </x:c>
      <x:c r="G652" s="50" t="str">
        <x:v>Relationship row</x:v>
      </x:c>
      <x:c r="H652" s="33" t="str">
        <x:v>REL-001</x:v>
      </x:c>
      <x:c r="I652" s="50" t="str"/>
      <x:c r="J652" s="33" t="str">
        <x:v>INTERNAL_SAMPLE</x:v>
      </x:c>
      <x:c r="K652" s="33" t="str">
        <x:v>Whole team</x:v>
      </x:c>
    </x:row>
    <x:row r="653" ht="24" customHeight="1">
      <x:c r="A653" s="33" t="str">
        <x:v>ESCA_HSE_01_Master_Data_and_Dictionary.xlsx</x:v>
      </x:c>
      <x:c r="B653" s="33" t="str">
        <x:v>Relationships</x:v>
      </x:c>
      <x:c r="C653" s="33" t="str">
        <x:v>parent_sheet</x:v>
      </x:c>
      <x:c r="D653" s="33" t="str">
        <x:v>text</x:v>
      </x:c>
      <x:c r="E653" s="34" t="b">
        <x:v>1</x:v>
      </x:c>
      <x:c r="F653" s="33" t="str"/>
      <x:c r="G653" s="50" t="str">
        <x:v>Parent dataset</x:v>
      </x:c>
      <x:c r="H653" s="33" t="str">
        <x:v>Departments</x:v>
      </x:c>
      <x:c r="I653" s="50" t="str"/>
      <x:c r="J653" s="33" t="str">
        <x:v>INTERNAL_SAMPLE</x:v>
      </x:c>
      <x:c r="K653" s="33" t="str">
        <x:v>Whole team</x:v>
      </x:c>
    </x:row>
    <x:row r="654" ht="24" customHeight="1">
      <x:c r="A654" s="33" t="str">
        <x:v>ESCA_HSE_01_Master_Data_and_Dictionary.xlsx</x:v>
      </x:c>
      <x:c r="B654" s="33" t="str">
        <x:v>Relationships</x:v>
      </x:c>
      <x:c r="C654" s="33" t="str">
        <x:v>parent_key</x:v>
      </x:c>
      <x:c r="D654" s="33" t="str">
        <x:v>text</x:v>
      </x:c>
      <x:c r="E654" s="34" t="b">
        <x:v>1</x:v>
      </x:c>
      <x:c r="F654" s="33" t="str"/>
      <x:c r="G654" s="50" t="str">
        <x:v>Parent primary key</x:v>
      </x:c>
      <x:c r="H654" s="33" t="str">
        <x:v>department_id</x:v>
      </x:c>
      <x:c r="I654" s="50" t="str"/>
      <x:c r="J654" s="33" t="str">
        <x:v>INTERNAL_SAMPLE</x:v>
      </x:c>
      <x:c r="K654" s="33" t="str">
        <x:v>Whole team</x:v>
      </x:c>
    </x:row>
    <x:row r="655" ht="24" customHeight="1">
      <x:c r="A655" s="33" t="str">
        <x:v>ESCA_HSE_01_Master_Data_and_Dictionary.xlsx</x:v>
      </x:c>
      <x:c r="B655" s="33" t="str">
        <x:v>Relationships</x:v>
      </x:c>
      <x:c r="C655" s="33" t="str">
        <x:v>child_sheet</x:v>
      </x:c>
      <x:c r="D655" s="33" t="str">
        <x:v>text</x:v>
      </x:c>
      <x:c r="E655" s="34" t="b">
        <x:v>1</x:v>
      </x:c>
      <x:c r="F655" s="33" t="str"/>
      <x:c r="G655" s="50" t="str">
        <x:v>Child dataset</x:v>
      </x:c>
      <x:c r="H655" s="33" t="str">
        <x:v>Zones</x:v>
      </x:c>
      <x:c r="I655" s="50" t="str"/>
      <x:c r="J655" s="33" t="str">
        <x:v>INTERNAL_SAMPLE</x:v>
      </x:c>
      <x:c r="K655" s="33" t="str">
        <x:v>Whole team</x:v>
      </x:c>
    </x:row>
    <x:row r="656" ht="24" customHeight="1">
      <x:c r="A656" s="33" t="str">
        <x:v>ESCA_HSE_01_Master_Data_and_Dictionary.xlsx</x:v>
      </x:c>
      <x:c r="B656" s="33" t="str">
        <x:v>Relationships</x:v>
      </x:c>
      <x:c r="C656" s="33" t="str">
        <x:v>child_key</x:v>
      </x:c>
      <x:c r="D656" s="33" t="str">
        <x:v>text</x:v>
      </x:c>
      <x:c r="E656" s="34" t="b">
        <x:v>1</x:v>
      </x:c>
      <x:c r="F656" s="33" t="str"/>
      <x:c r="G656" s="50" t="str">
        <x:v>Child foreign key</x:v>
      </x:c>
      <x:c r="H656" s="33" t="str">
        <x:v>department_id</x:v>
      </x:c>
      <x:c r="I656" s="50" t="str"/>
      <x:c r="J656" s="33" t="str">
        <x:v>INTERNAL_SAMPLE</x:v>
      </x:c>
      <x:c r="K656" s="33" t="str">
        <x:v>Whole team</x:v>
      </x:c>
    </x:row>
    <x:row r="657" ht="24" customHeight="1">
      <x:c r="A657" s="33" t="str">
        <x:v>ESCA_HSE_01_Master_Data_and_Dictionary.xlsx</x:v>
      </x:c>
      <x:c r="B657" s="33" t="str">
        <x:v>Relationships</x:v>
      </x:c>
      <x:c r="C657" s="33" t="str">
        <x:v>cardinality</x:v>
      </x:c>
      <x:c r="D657" s="33" t="str">
        <x:v>text</x:v>
      </x:c>
      <x:c r="E657" s="34" t="b">
        <x:v>1</x:v>
      </x:c>
      <x:c r="F657" s="33" t="str"/>
      <x:c r="G657" s="50" t="str">
        <x:v>Relationship cardinality</x:v>
      </x:c>
      <x:c r="H657" s="33" t="str">
        <x:v>1:M</x:v>
      </x:c>
      <x:c r="I657" s="50" t="str"/>
      <x:c r="J657" s="33" t="str">
        <x:v>INTERNAL_SAMPLE</x:v>
      </x:c>
      <x:c r="K657" s="33" t="str">
        <x:v>Whole team</x:v>
      </x:c>
    </x:row>
    <x:row r="658" ht="24" customHeight="1">
      <x:c r="A658" s="35" t="str">
        <x:v>ESCA_HSE_01_Master_Data_and_Dictionary.xlsx</x:v>
      </x:c>
      <x:c r="B658" s="35" t="str">
        <x:v>Relationships</x:v>
      </x:c>
      <x:c r="C658" s="35" t="str">
        <x:v>notes</x:v>
      </x:c>
      <x:c r="D658" s="35" t="str">
        <x:v>long_text</x:v>
      </x:c>
      <x:c r="E658" s="36" t="b">
        <x:v>1</x:v>
      </x:c>
      <x:c r="F658" s="35" t="str"/>
      <x:c r="G658" s="51" t="str">
        <x:v>Relationship note</x:v>
      </x:c>
      <x:c r="H658" s="35" t="str">
        <x:v>Foreign-key relationship across package workbooks</x:v>
      </x:c>
      <x:c r="I658" s="51" t="str"/>
      <x:c r="J658" s="35" t="str">
        <x:v>INTERNAL_SAMPLE</x:v>
      </x:c>
      <x:c r="K658" s="35" t="str">
        <x:v>Whole team</x:v>
      </x:c>
    </x:row>
  </x:sheetData>
  <x:mergeCells>
    <x:mergeCell ref="A1:K1"/>
    <x:mergeCell ref="A2:K2"/>
  </x:mergeCells>
  <x:dataValidations count="1">
    <x:dataValidation type="list" sqref="J5:J658">
      <x:formula1>"INTERNAL_SAMPLE,CONFIDENTIAL_SECURITY,RESTRICTED_MEDICAL"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0074f6e94a4e3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3" hidden="0" customWidth="1"/>
    <x:col min="6" max="6" width="34" hidden="0" customWidth="1"/>
  </x:cols>
  <x:sheetData>
    <x:row r="1" ht="32" customHeight="1">
      <x:c r="A1" s="17" t="str">
        <x:v>ESCA HSE | Status_Values</x:v>
      </x:c>
      <x:c r="B1" s="17" t="str">
        <x:v>ESCA HSE | Status_Values</x:v>
      </x:c>
      <x:c r="C1" s="17" t="str">
        <x:v>ESCA HSE | Status_Values</x:v>
      </x:c>
      <x:c r="D1" s="17" t="str">
        <x:v>ESCA HSE | Status_Values</x:v>
      </x:c>
      <x:c r="E1" s="17" t="str">
        <x:v>ESCA HSE | Status_Values</x:v>
      </x:c>
      <x:c r="F1" s="17" t="str">
        <x:v>ESCA HSE | Status_Values</x:v>
      </x:c>
    </x:row>
    <x:row r="2" ht="28" customHeight="1">
      <x:c r="A2" s="21" t="str">
        <x:v>Approved categorical/status values | Owner: Module owners + HSE | Synthetic sample data | Snapshot: 2026-08-13</x:v>
      </x:c>
      <x:c r="B2" s="21" t="str">
        <x:v>Approved categorical/status values | Owner: Module owners + HSE | Synthetic sample data | Snapshot: 2026-08-13</x:v>
      </x:c>
      <x:c r="C2" s="21" t="str">
        <x:v>Approved categorical/status values | Owner: Module owners + HSE | Synthetic sample data | Snapshot: 2026-08-13</x:v>
      </x:c>
      <x:c r="D2" s="21" t="str">
        <x:v>Approved categorical/status values | Owner: Module owners + HSE | Synthetic sample data | Snapshot: 2026-08-13</x:v>
      </x:c>
      <x:c r="E2" s="21" t="str">
        <x:v>Approved categorical/status values | Owner: Module owners + HSE | Synthetic sample data | Snapshot: 2026-08-13</x:v>
      </x:c>
      <x:c r="F2" s="21" t="str">
        <x:v>Approved categorical/status values | Owner: Module owners + HSE | Synthetic sample data | Snapshot: 2026-08-13</x:v>
      </x:c>
    </x:row>
    <x:row r="4" ht="30" customHeight="1">
      <x:c r="A4" s="26" t="str">
        <x:v>entity</x:v>
      </x:c>
      <x:c r="B4" s="26" t="str">
        <x:v>field</x:v>
      </x:c>
      <x:c r="C4" s="26" t="str">
        <x:v>value</x:v>
      </x:c>
      <x:c r="D4" s="26" t="str">
        <x:v>meaning</x:v>
      </x:c>
      <x:c r="E4" s="26" t="str">
        <x:v>final_state</x:v>
      </x:c>
      <x:c r="F4" s="26" t="str">
        <x:v>notes</x:v>
      </x:c>
    </x:row>
    <x:row r="5" ht="24" customHeight="1">
      <x:c r="A5" s="31" t="str">
        <x:v>Departments</x:v>
      </x:c>
      <x:c r="B5" s="31" t="str">
        <x:v>department_type</x:v>
      </x:c>
      <x:c r="C5" s="31" t="str">
        <x:v>PRODUCTION</x:v>
      </x:c>
      <x:c r="D5" s="49" t="str">
        <x:v>Allowed value: PRODUCTION</x:v>
      </x:c>
      <x:c r="E5" s="32" t="b">
        <x:v>0</x:v>
      </x:c>
      <x:c r="F5" s="49" t="str">
        <x:v>Use exactly as written in API/database contracts</x:v>
      </x:c>
    </x:row>
    <x:row r="6" ht="24" customHeight="1">
      <x:c r="A6" s="33" t="str">
        <x:v>Departments</x:v>
      </x:c>
      <x:c r="B6" s="33" t="str">
        <x:v>department_type</x:v>
      </x:c>
      <x:c r="C6" s="33" t="str">
        <x:v>OPERATIONS</x:v>
      </x:c>
      <x:c r="D6" s="50" t="str">
        <x:v>Allowed value: OPERATIONS</x:v>
      </x:c>
      <x:c r="E6" s="34" t="b">
        <x:v>0</x:v>
      </x:c>
      <x:c r="F6" s="50" t="str">
        <x:v>Use exactly as written in API/database contracts</x:v>
      </x:c>
    </x:row>
    <x:row r="7" ht="24" customHeight="1">
      <x:c r="A7" s="33" t="str">
        <x:v>Departments</x:v>
      </x:c>
      <x:c r="B7" s="33" t="str">
        <x:v>department_type</x:v>
      </x:c>
      <x:c r="C7" s="33" t="str">
        <x:v>TECHNICAL</x:v>
      </x:c>
      <x:c r="D7" s="50" t="str">
        <x:v>Allowed value: TECHNICAL</x:v>
      </x:c>
      <x:c r="E7" s="34" t="b">
        <x:v>0</x:v>
      </x:c>
      <x:c r="F7" s="50" t="str">
        <x:v>Use exactly as written in API/database contracts</x:v>
      </x:c>
    </x:row>
    <x:row r="8" ht="24" customHeight="1">
      <x:c r="A8" s="33" t="str">
        <x:v>Departments</x:v>
      </x:c>
      <x:c r="B8" s="33" t="str">
        <x:v>department_type</x:v>
      </x:c>
      <x:c r="C8" s="33" t="str">
        <x:v>ADMIN</x:v>
      </x:c>
      <x:c r="D8" s="50" t="str">
        <x:v>Allowed value: ADMIN</x:v>
      </x:c>
      <x:c r="E8" s="34" t="b">
        <x:v>0</x:v>
      </x:c>
      <x:c r="F8" s="50" t="str">
        <x:v>Use exactly as written in API/database contracts</x:v>
      </x:c>
    </x:row>
    <x:row r="9" ht="24" customHeight="1">
      <x:c r="A9" s="33" t="str">
        <x:v>Departments</x:v>
      </x:c>
      <x:c r="B9" s="33" t="str">
        <x:v>department_type</x:v>
      </x:c>
      <x:c r="C9" s="33" t="str">
        <x:v>CONTROL</x:v>
      </x:c>
      <x:c r="D9" s="50" t="str">
        <x:v>Allowed value: CONTROL</x:v>
      </x:c>
      <x:c r="E9" s="34" t="b">
        <x:v>0</x:v>
      </x:c>
      <x:c r="F9" s="50" t="str">
        <x:v>Use exactly as written in API/database contracts</x:v>
      </x:c>
    </x:row>
    <x:row r="10" ht="24" customHeight="1">
      <x:c r="A10" s="33" t="str">
        <x:v>Departments</x:v>
      </x:c>
      <x:c r="B10" s="33" t="str">
        <x:v>department_type</x:v>
      </x:c>
      <x:c r="C10" s="33" t="str">
        <x:v>HEALTH</x:v>
      </x:c>
      <x:c r="D10" s="50" t="str">
        <x:v>Allowed value: HEALTH</x:v>
      </x:c>
      <x:c r="E10" s="34" t="b">
        <x:v>0</x:v>
      </x:c>
      <x:c r="F10" s="50" t="str">
        <x:v>Use exactly as written in API/database contracts</x:v>
      </x:c>
    </x:row>
    <x:row r="11" ht="24" customHeight="1">
      <x:c r="A11" s="33" t="str">
        <x:v>Zones</x:v>
      </x:c>
      <x:c r="B11" s="33" t="str">
        <x:v>risk_class</x:v>
      </x:c>
      <x:c r="C11" s="33" t="str">
        <x:v>LOW</x:v>
      </x:c>
      <x:c r="D11" s="50" t="str">
        <x:v>Low priority</x:v>
      </x:c>
      <x:c r="E11" s="34" t="b">
        <x:v>0</x:v>
      </x:c>
      <x:c r="F11" s="50" t="str">
        <x:v>Use exactly as written in API/database contracts</x:v>
      </x:c>
    </x:row>
    <x:row r="12" ht="24" customHeight="1">
      <x:c r="A12" s="33" t="str">
        <x:v>Zones</x:v>
      </x:c>
      <x:c r="B12" s="33" t="str">
        <x:v>risk_class</x:v>
      </x:c>
      <x:c r="C12" s="33" t="str">
        <x:v>MEDIUM</x:v>
      </x:c>
      <x:c r="D12" s="50" t="str">
        <x:v>Moderate priority</x:v>
      </x:c>
      <x:c r="E12" s="34" t="b">
        <x:v>0</x:v>
      </x:c>
      <x:c r="F12" s="50" t="str">
        <x:v>Use exactly as written in API/database contracts</x:v>
      </x:c>
    </x:row>
    <x:row r="13" ht="24" customHeight="1">
      <x:c r="A13" s="33" t="str">
        <x:v>Zones</x:v>
      </x:c>
      <x:c r="B13" s="33" t="str">
        <x:v>risk_class</x:v>
      </x:c>
      <x:c r="C13" s="33" t="str">
        <x:v>HIGH</x:v>
      </x:c>
      <x:c r="D13" s="50" t="str">
        <x:v>High priority or severity</x:v>
      </x:c>
      <x:c r="E13" s="34" t="b">
        <x:v>0</x:v>
      </x:c>
      <x:c r="F13" s="50" t="str">
        <x:v>Use exactly as written in API/database contracts</x:v>
      </x:c>
    </x:row>
    <x:row r="14" ht="24" customHeight="1">
      <x:c r="A14" s="33" t="str">
        <x:v>Zones</x:v>
      </x:c>
      <x:c r="B14" s="33" t="str">
        <x:v>risk_class</x:v>
      </x:c>
      <x:c r="C14" s="33" t="str">
        <x:v>CRITICAL</x:v>
      </x:c>
      <x:c r="D14" s="50" t="str">
        <x:v>Immediate/highest concern</x:v>
      </x:c>
      <x:c r="E14" s="34" t="b">
        <x:v>0</x:v>
      </x:c>
      <x:c r="F14" s="50" t="str">
        <x:v>Use exactly as written in API/database contracts</x:v>
      </x:c>
    </x:row>
    <x:row r="15" ht="24" customHeight="1">
      <x:c r="A15" s="33" t="str">
        <x:v>Employees</x:v>
      </x:c>
      <x:c r="B15" s="33" t="str">
        <x:v>employment_type</x:v>
      </x:c>
      <x:c r="C15" s="33" t="str">
        <x:v>FULL_TIME</x:v>
      </x:c>
      <x:c r="D15" s="50" t="str">
        <x:v>Allowed value: FULL_TIME</x:v>
      </x:c>
      <x:c r="E15" s="34" t="b">
        <x:v>0</x:v>
      </x:c>
      <x:c r="F15" s="50" t="str">
        <x:v>Use exactly as written in API/database contracts</x:v>
      </x:c>
    </x:row>
    <x:row r="16" ht="24" customHeight="1">
      <x:c r="A16" s="33" t="str">
        <x:v>Employees</x:v>
      </x:c>
      <x:c r="B16" s="33" t="str">
        <x:v>employment_type</x:v>
      </x:c>
      <x:c r="C16" s="33" t="str">
        <x:v>CONTRACTOR</x:v>
      </x:c>
      <x:c r="D16" s="50" t="str">
        <x:v>Allowed value: CONTRACTOR</x:v>
      </x:c>
      <x:c r="E16" s="34" t="b">
        <x:v>0</x:v>
      </x:c>
      <x:c r="F16" s="50" t="str">
        <x:v>Use exactly as written in API/database contracts</x:v>
      </x:c>
    </x:row>
    <x:row r="17" ht="24" customHeight="1">
      <x:c r="A17" s="33" t="str">
        <x:v>Users</x:v>
      </x:c>
      <x:c r="B17" s="33" t="str">
        <x:v>status</x:v>
      </x:c>
      <x:c r="C17" s="33" t="str">
        <x:v>ACTIVE</x:v>
      </x:c>
      <x:c r="D17" s="50" t="str">
        <x:v>Currently active/in force</x:v>
      </x:c>
      <x:c r="E17" s="34" t="b">
        <x:v>0</x:v>
      </x:c>
      <x:c r="F17" s="50" t="str">
        <x:v>Use exactly as written in API/database contracts</x:v>
      </x:c>
    </x:row>
    <x:row r="18" ht="24" customHeight="1">
      <x:c r="A18" s="33" t="str">
        <x:v>Users</x:v>
      </x:c>
      <x:c r="B18" s="33" t="str">
        <x:v>status</x:v>
      </x:c>
      <x:c r="C18" s="33" t="str">
        <x:v>SUSPENDED</x:v>
      </x:c>
      <x:c r="D18" s="50" t="str">
        <x:v>Temporarily blocked</x:v>
      </x:c>
      <x:c r="E18" s="34" t="b">
        <x:v>0</x:v>
      </x:c>
      <x:c r="F18" s="50" t="str">
        <x:v>Use exactly as written in API/database contracts</x:v>
      </x:c>
    </x:row>
    <x:row r="19" ht="24" customHeight="1">
      <x:c r="A19" s="33" t="str">
        <x:v>Users</x:v>
      </x:c>
      <x:c r="B19" s="33" t="str">
        <x:v>status</x:v>
      </x:c>
      <x:c r="C19" s="33" t="str">
        <x:v>DISABLED</x:v>
      </x:c>
      <x:c r="D19" s="50" t="str">
        <x:v>Allowed value: DISABLED</x:v>
      </x:c>
      <x:c r="E19" s="34" t="b">
        <x:v>0</x:v>
      </x:c>
      <x:c r="F19" s="50" t="str">
        <x:v>Use exactly as written in API/database contracts</x:v>
      </x:c>
    </x:row>
    <x:row r="20" ht="24" customHeight="1">
      <x:c r="A20" s="33" t="str">
        <x:v>User_Roles</x:v>
      </x:c>
      <x:c r="B20" s="33" t="str">
        <x:v>scope_type</x:v>
      </x:c>
      <x:c r="C20" s="33" t="str">
        <x:v>SITE</x:v>
      </x:c>
      <x:c r="D20" s="50" t="str">
        <x:v>Allowed value: SITE</x:v>
      </x:c>
      <x:c r="E20" s="34" t="b">
        <x:v>0</x:v>
      </x:c>
      <x:c r="F20" s="50" t="str">
        <x:v>Use exactly as written in API/database contracts</x:v>
      </x:c>
    </x:row>
    <x:row r="21" ht="24" customHeight="1">
      <x:c r="A21" s="33" t="str">
        <x:v>User_Roles</x:v>
      </x:c>
      <x:c r="B21" s="33" t="str">
        <x:v>scope_type</x:v>
      </x:c>
      <x:c r="C21" s="33" t="str">
        <x:v>DEPARTMENT</x:v>
      </x:c>
      <x:c r="D21" s="50" t="str">
        <x:v>Allowed value: DEPARTMENT</x:v>
      </x:c>
      <x:c r="E21" s="34" t="b">
        <x:v>0</x:v>
      </x:c>
      <x:c r="F21" s="50" t="str">
        <x:v>Use exactly as written in API/database contracts</x:v>
      </x:c>
    </x:row>
    <x:row r="22" ht="24" customHeight="1">
      <x:c r="A22" s="33" t="str">
        <x:v>User_Roles</x:v>
      </x:c>
      <x:c r="B22" s="33" t="str">
        <x:v>scope_type</x:v>
      </x:c>
      <x:c r="C22" s="33" t="str">
        <x:v>ZONE</x:v>
      </x:c>
      <x:c r="D22" s="50" t="str">
        <x:v>Allowed value: ZONE</x:v>
      </x:c>
      <x:c r="E22" s="34" t="b">
        <x:v>0</x:v>
      </x:c>
      <x:c r="F22" s="50" t="str">
        <x:v>Use exactly as written in API/database contracts</x:v>
      </x:c>
    </x:row>
    <x:row r="23" ht="24" customHeight="1">
      <x:c r="A23" s="33" t="str">
        <x:v>User_Roles</x:v>
      </x:c>
      <x:c r="B23" s="33" t="str">
        <x:v>scope_type</x:v>
      </x:c>
      <x:c r="C23" s="33" t="str">
        <x:v>SERVICE</x:v>
      </x:c>
      <x:c r="D23" s="50" t="str">
        <x:v>Allowed value: SERVICE</x:v>
      </x:c>
      <x:c r="E23" s="34" t="b">
        <x:v>0</x:v>
      </x:c>
      <x:c r="F23" s="50" t="str">
        <x:v>Use exactly as written in API/database contracts</x:v>
      </x:c>
    </x:row>
    <x:row r="24" ht="24" customHeight="1">
      <x:c r="A24" s="33" t="str">
        <x:v>User_Roles</x:v>
      </x:c>
      <x:c r="B24" s="33" t="str">
        <x:v>status</x:v>
      </x:c>
      <x:c r="C24" s="33" t="str">
        <x:v>ACTIVE</x:v>
      </x:c>
      <x:c r="D24" s="50" t="str">
        <x:v>Currently active/in force</x:v>
      </x:c>
      <x:c r="E24" s="34" t="b">
        <x:v>0</x:v>
      </x:c>
      <x:c r="F24" s="50" t="str">
        <x:v>Use exactly as written in API/database contracts</x:v>
      </x:c>
    </x:row>
    <x:row r="25" ht="24" customHeight="1">
      <x:c r="A25" s="33" t="str">
        <x:v>User_Roles</x:v>
      </x:c>
      <x:c r="B25" s="33" t="str">
        <x:v>status</x:v>
      </x:c>
      <x:c r="C25" s="33" t="str">
        <x:v>SUSPENDED</x:v>
      </x:c>
      <x:c r="D25" s="50" t="str">
        <x:v>Temporarily blocked</x:v>
      </x:c>
      <x:c r="E25" s="34" t="b">
        <x:v>0</x:v>
      </x:c>
      <x:c r="F25" s="50" t="str">
        <x:v>Use exactly as written in API/database contracts</x:v>
      </x:c>
    </x:row>
    <x:row r="26" ht="24" customHeight="1">
      <x:c r="A26" s="33" t="str">
        <x:v>User_Roles</x:v>
      </x:c>
      <x:c r="B26" s="33" t="str">
        <x:v>status</x:v>
      </x:c>
      <x:c r="C26" s="33" t="str">
        <x:v>EXPIRED</x:v>
      </x:c>
      <x:c r="D26" s="50" t="str">
        <x:v>Past validity</x:v>
      </x:c>
      <x:c r="E26" s="34" t="b">
        <x:v>1</x:v>
      </x:c>
      <x:c r="F26" s="50" t="str">
        <x:v>Use exactly as written in API/database contracts</x:v>
      </x:c>
    </x:row>
    <x:row r="27" ht="24" customHeight="1">
      <x:c r="A27" s="33" t="str">
        <x:v>Service_Catalog</x:v>
      </x:c>
      <x:c r="B27" s="33" t="str">
        <x:v>health_status</x:v>
      </x:c>
      <x:c r="C27" s="33" t="str">
        <x:v>HEALTHY</x:v>
      </x:c>
      <x:c r="D27" s="50" t="str">
        <x:v>Allowed value: HEALTHY</x:v>
      </x:c>
      <x:c r="E27" s="34" t="b">
        <x:v>0</x:v>
      </x:c>
      <x:c r="F27" s="50" t="str">
        <x:v>Use exactly as written in API/database contracts</x:v>
      </x:c>
    </x:row>
    <x:row r="28" ht="24" customHeight="1">
      <x:c r="A28" s="33" t="str">
        <x:v>Service_Catalog</x:v>
      </x:c>
      <x:c r="B28" s="33" t="str">
        <x:v>health_status</x:v>
      </x:c>
      <x:c r="C28" s="33" t="str">
        <x:v>DEGRADED</x:v>
      </x:c>
      <x:c r="D28" s="50" t="str">
        <x:v>Allowed value: DEGRADED</x:v>
      </x:c>
      <x:c r="E28" s="34" t="b">
        <x:v>0</x:v>
      </x:c>
      <x:c r="F28" s="50" t="str">
        <x:v>Use exactly as written in API/database contracts</x:v>
      </x:c>
    </x:row>
    <x:row r="29" ht="24" customHeight="1">
      <x:c r="A29" s="33" t="str">
        <x:v>Service_Catalog</x:v>
      </x:c>
      <x:c r="B29" s="33" t="str">
        <x:v>health_status</x:v>
      </x:c>
      <x:c r="C29" s="33" t="str">
        <x:v>DOWN</x:v>
      </x:c>
      <x:c r="D29" s="50" t="str">
        <x:v>Allowed value: DOWN</x:v>
      </x:c>
      <x:c r="E29" s="34" t="b">
        <x:v>0</x:v>
      </x:c>
      <x:c r="F29" s="50" t="str">
        <x:v>Use exactly as written in API/database contracts</x:v>
      </x:c>
    </x:row>
    <x:row r="30" ht="24" customHeight="1">
      <x:c r="A30" s="33" t="str">
        <x:v>Service_Catalog</x:v>
      </x:c>
      <x:c r="B30" s="33" t="str">
        <x:v>health_status</x:v>
      </x:c>
      <x:c r="C30" s="33" t="str">
        <x:v>PLANNED</x:v>
      </x:c>
      <x:c r="D30" s="50" t="str">
        <x:v>Allowed value: PLANNED</x:v>
      </x:c>
      <x:c r="E30" s="34" t="b">
        <x:v>0</x:v>
      </x:c>
      <x:c r="F30" s="50" t="str">
        <x:v>Use exactly as written in API/database contracts</x:v>
      </x:c>
    </x:row>
    <x:row r="31" ht="24" customHeight="1">
      <x:c r="A31" s="33" t="str">
        <x:v>Environments</x:v>
      </x:c>
      <x:c r="B31" s="33" t="str">
        <x:v>data_policy</x:v>
      </x:c>
      <x:c r="C31" s="33" t="str">
        <x:v>SYNTHETIC_ONLY</x:v>
      </x:c>
      <x:c r="D31" s="50" t="str">
        <x:v>Allowed value: SYNTHETIC_ONLY</x:v>
      </x:c>
      <x:c r="E31" s="34" t="b">
        <x:v>0</x:v>
      </x:c>
      <x:c r="F31" s="50" t="str">
        <x:v>Use exactly as written in API/database contracts</x:v>
      </x:c>
    </x:row>
    <x:row r="32" ht="24" customHeight="1">
      <x:c r="A32" s="33" t="str">
        <x:v>Environments</x:v>
      </x:c>
      <x:c r="B32" s="33" t="str">
        <x:v>status</x:v>
      </x:c>
      <x:c r="C32" s="33" t="str">
        <x:v>ACTIVE</x:v>
      </x:c>
      <x:c r="D32" s="50" t="str">
        <x:v>Currently active/in force</x:v>
      </x:c>
      <x:c r="E32" s="34" t="b">
        <x:v>0</x:v>
      </x:c>
      <x:c r="F32" s="50" t="str">
        <x:v>Use exactly as written in API/database contracts</x:v>
      </x:c>
    </x:row>
    <x:row r="33" ht="24" customHeight="1">
      <x:c r="A33" s="33" t="str">
        <x:v>Environments</x:v>
      </x:c>
      <x:c r="B33" s="33" t="str">
        <x:v>status</x:v>
      </x:c>
      <x:c r="C33" s="33" t="str">
        <x:v>PLANNED</x:v>
      </x:c>
      <x:c r="D33" s="50" t="str">
        <x:v>Allowed value: PLANNED</x:v>
      </x:c>
      <x:c r="E33" s="34" t="b">
        <x:v>0</x:v>
      </x:c>
      <x:c r="F33" s="50" t="str">
        <x:v>Use exactly as written in API/database contracts</x:v>
      </x:c>
    </x:row>
    <x:row r="34" ht="24" customHeight="1">
      <x:c r="A34" s="33" t="str">
        <x:v>Environments</x:v>
      </x:c>
      <x:c r="B34" s="33" t="str">
        <x:v>status</x:v>
      </x:c>
      <x:c r="C34" s="33" t="str">
        <x:v>RETIRED</x:v>
      </x:c>
      <x:c r="D34" s="50" t="str">
        <x:v>Allowed value: RETIRED</x:v>
      </x:c>
      <x:c r="E34" s="34" t="b">
        <x:v>0</x:v>
      </x:c>
      <x:c r="F34" s="50" t="str">
        <x:v>Use exactly as written in API/database contracts</x:v>
      </x:c>
    </x:row>
    <x:row r="35" ht="24" customHeight="1">
      <x:c r="A35" s="33" t="str">
        <x:v>Incidents</x:v>
      </x:c>
      <x:c r="B35" s="33" t="str">
        <x:v>incident_type</x:v>
      </x:c>
      <x:c r="C35" s="33" t="str">
        <x:v>LTI</x:v>
      </x:c>
      <x:c r="D35" s="50" t="str">
        <x:v>Allowed value: LTI</x:v>
      </x:c>
      <x:c r="E35" s="34" t="b">
        <x:v>0</x:v>
      </x:c>
      <x:c r="F35" s="50" t="str">
        <x:v>Use exactly as written in API/database contracts</x:v>
      </x:c>
    </x:row>
    <x:row r="36" ht="24" customHeight="1">
      <x:c r="A36" s="33" t="str">
        <x:v>Incidents</x:v>
      </x:c>
      <x:c r="B36" s="33" t="str">
        <x:v>incident_type</x:v>
      </x:c>
      <x:c r="C36" s="33" t="str">
        <x:v>FIRST_AID</x:v>
      </x:c>
      <x:c r="D36" s="50" t="str">
        <x:v>Allowed value: FIRST_AID</x:v>
      </x:c>
      <x:c r="E36" s="34" t="b">
        <x:v>0</x:v>
      </x:c>
      <x:c r="F36" s="50" t="str">
        <x:v>Use exactly as written in API/database contracts</x:v>
      </x:c>
    </x:row>
    <x:row r="37" ht="24" customHeight="1">
      <x:c r="A37" s="33" t="str">
        <x:v>Incidents</x:v>
      </x:c>
      <x:c r="B37" s="33" t="str">
        <x:v>incident_type</x:v>
      </x:c>
      <x:c r="C37" s="33" t="str">
        <x:v>NEAR_MISS</x:v>
      </x:c>
      <x:c r="D37" s="50" t="str">
        <x:v>Allowed value: NEAR_MISS</x:v>
      </x:c>
      <x:c r="E37" s="34" t="b">
        <x:v>0</x:v>
      </x:c>
      <x:c r="F37" s="50" t="str">
        <x:v>Use exactly as written in API/database contracts</x:v>
      </x:c>
    </x:row>
    <x:row r="38" ht="24" customHeight="1">
      <x:c r="A38" s="33" t="str">
        <x:v>Incidents</x:v>
      </x:c>
      <x:c r="B38" s="33" t="str">
        <x:v>incident_type</x:v>
      </x:c>
      <x:c r="C38" s="33" t="str">
        <x:v>UNSAFE_CONDITION</x:v>
      </x:c>
      <x:c r="D38" s="50" t="str">
        <x:v>Allowed value: UNSAFE_CONDITION</x:v>
      </x:c>
      <x:c r="E38" s="34" t="b">
        <x:v>0</x:v>
      </x:c>
      <x:c r="F38" s="50" t="str">
        <x:v>Use exactly as written in API/database contracts</x:v>
      </x:c>
    </x:row>
    <x:row r="39" ht="24" customHeight="1">
      <x:c r="A39" s="33" t="str">
        <x:v>Incidents</x:v>
      </x:c>
      <x:c r="B39" s="33" t="str">
        <x:v>incident_type</x:v>
      </x:c>
      <x:c r="C39" s="33" t="str">
        <x:v>UNSAFE_ACT</x:v>
      </x:c>
      <x:c r="D39" s="50" t="str">
        <x:v>Allowed value: UNSAFE_ACT</x:v>
      </x:c>
      <x:c r="E39" s="34" t="b">
        <x:v>0</x:v>
      </x:c>
      <x:c r="F39" s="50" t="str">
        <x:v>Use exactly as written in API/database contracts</x:v>
      </x:c>
    </x:row>
    <x:row r="40" ht="24" customHeight="1">
      <x:c r="A40" s="33" t="str">
        <x:v>Incidents</x:v>
      </x:c>
      <x:c r="B40" s="33" t="str">
        <x:v>incident_type</x:v>
      </x:c>
      <x:c r="C40" s="33" t="str">
        <x:v>PROPERTY_DAMAGE</x:v>
      </x:c>
      <x:c r="D40" s="50" t="str">
        <x:v>Allowed value: PROPERTY_DAMAGE</x:v>
      </x:c>
      <x:c r="E40" s="34" t="b">
        <x:v>0</x:v>
      </x:c>
      <x:c r="F40" s="50" t="str">
        <x:v>Use exactly as written in API/database contracts</x:v>
      </x:c>
    </x:row>
    <x:row r="41" ht="24" customHeight="1">
      <x:c r="A41" s="33" t="str">
        <x:v>Incidents</x:v>
      </x:c>
      <x:c r="B41" s="33" t="str">
        <x:v>severity</x:v>
      </x:c>
      <x:c r="C41" s="33" t="str">
        <x:v>MINOR</x:v>
      </x:c>
      <x:c r="D41" s="50" t="str">
        <x:v>Allowed value: MINOR</x:v>
      </x:c>
      <x:c r="E41" s="34" t="b">
        <x:v>0</x:v>
      </x:c>
      <x:c r="F41" s="50" t="str">
        <x:v>Use exactly as written in API/database contracts</x:v>
      </x:c>
    </x:row>
    <x:row r="42" ht="24" customHeight="1">
      <x:c r="A42" s="33" t="str">
        <x:v>Incidents</x:v>
      </x:c>
      <x:c r="B42" s="33" t="str">
        <x:v>severity</x:v>
      </x:c>
      <x:c r="C42" s="33" t="str">
        <x:v>MODERATE</x:v>
      </x:c>
      <x:c r="D42" s="50" t="str">
        <x:v>Allowed value: MODERATE</x:v>
      </x:c>
      <x:c r="E42" s="34" t="b">
        <x:v>0</x:v>
      </x:c>
      <x:c r="F42" s="50" t="str">
        <x:v>Use exactly as written in API/database contracts</x:v>
      </x:c>
    </x:row>
    <x:row r="43" ht="24" customHeight="1">
      <x:c r="A43" s="33" t="str">
        <x:v>Incidents</x:v>
      </x:c>
      <x:c r="B43" s="33" t="str">
        <x:v>severity</x:v>
      </x:c>
      <x:c r="C43" s="33" t="str">
        <x:v>MAJOR</x:v>
      </x:c>
      <x:c r="D43" s="50" t="str">
        <x:v>Allowed value: MAJOR</x:v>
      </x:c>
      <x:c r="E43" s="34" t="b">
        <x:v>0</x:v>
      </x:c>
      <x:c r="F43" s="50" t="str">
        <x:v>Use exactly as written in API/database contracts</x:v>
      </x:c>
    </x:row>
    <x:row r="44" ht="24" customHeight="1">
      <x:c r="A44" s="33" t="str">
        <x:v>Incidents</x:v>
      </x:c>
      <x:c r="B44" s="33" t="str">
        <x:v>severity</x:v>
      </x:c>
      <x:c r="C44" s="33" t="str">
        <x:v>CRITICAL</x:v>
      </x:c>
      <x:c r="D44" s="50" t="str">
        <x:v>Immediate/highest concern</x:v>
      </x:c>
      <x:c r="E44" s="34" t="b">
        <x:v>0</x:v>
      </x:c>
      <x:c r="F44" s="50" t="str">
        <x:v>Use exactly as written in API/database contracts</x:v>
      </x:c>
    </x:row>
    <x:row r="45" ht="24" customHeight="1">
      <x:c r="A45" s="33" t="str">
        <x:v>Incidents</x:v>
      </x:c>
      <x:c r="B45" s="33" t="str">
        <x:v>status</x:v>
      </x:c>
      <x:c r="C45" s="33" t="str">
        <x:v>REPORTED</x:v>
      </x:c>
      <x:c r="D45" s="50" t="str">
        <x:v>Allowed value: REPORTED</x:v>
      </x:c>
      <x:c r="E45" s="34" t="b">
        <x:v>0</x:v>
      </x:c>
      <x:c r="F45" s="50" t="str">
        <x:v>Use exactly as written in API/database contracts</x:v>
      </x:c>
    </x:row>
    <x:row r="46" ht="24" customHeight="1">
      <x:c r="A46" s="33" t="str">
        <x:v>Incidents</x:v>
      </x:c>
      <x:c r="B46" s="33" t="str">
        <x:v>status</x:v>
      </x:c>
      <x:c r="C46" s="33" t="str">
        <x:v>CLASSIFIED</x:v>
      </x:c>
      <x:c r="D46" s="50" t="str">
        <x:v>Allowed value: CLASSIFIED</x:v>
      </x:c>
      <x:c r="E46" s="34" t="b">
        <x:v>0</x:v>
      </x:c>
      <x:c r="F46" s="50" t="str">
        <x:v>Use exactly as written in API/database contracts</x:v>
      </x:c>
    </x:row>
    <x:row r="47" ht="24" customHeight="1">
      <x:c r="A47" s="33" t="str">
        <x:v>Incidents</x:v>
      </x:c>
      <x:c r="B47" s="33" t="str">
        <x:v>status</x:v>
      </x:c>
      <x:c r="C47" s="33" t="str">
        <x:v>INVESTIGATING</x:v>
      </x:c>
      <x:c r="D47" s="50" t="str">
        <x:v>Allowed value: INVESTIGATING</x:v>
      </x:c>
      <x:c r="E47" s="34" t="b">
        <x:v>0</x:v>
      </x:c>
      <x:c r="F47" s="50" t="str">
        <x:v>Use exactly as written in API/database contracts</x:v>
      </x:c>
    </x:row>
    <x:row r="48" ht="24" customHeight="1">
      <x:c r="A48" s="33" t="str">
        <x:v>Incidents</x:v>
      </x:c>
      <x:c r="B48" s="33" t="str">
        <x:v>status</x:v>
      </x:c>
      <x:c r="C48" s="33" t="str">
        <x:v>CAPA_ASSIGNED</x:v>
      </x:c>
      <x:c r="D48" s="50" t="str">
        <x:v>Allowed value: CAPA_ASSIGNED</x:v>
      </x:c>
      <x:c r="E48" s="34" t="b">
        <x:v>0</x:v>
      </x:c>
      <x:c r="F48" s="50" t="str">
        <x:v>Use exactly as written in API/database contracts</x:v>
      </x:c>
    </x:row>
    <x:row r="49" ht="24" customHeight="1">
      <x:c r="A49" s="33" t="str">
        <x:v>Incidents</x:v>
      </x:c>
      <x:c r="B49" s="33" t="str">
        <x:v>status</x:v>
      </x:c>
      <x:c r="C49" s="33" t="str">
        <x:v>PENDING_VERIFICATION</x:v>
      </x:c>
      <x:c r="D49" s="50" t="str">
        <x:v>Allowed value: PENDING_VERIFICATION</x:v>
      </x:c>
      <x:c r="E49" s="34" t="b">
        <x:v>0</x:v>
      </x:c>
      <x:c r="F49" s="50" t="str">
        <x:v>Use exactly as written in API/database contracts</x:v>
      </x:c>
    </x:row>
    <x:row r="50" ht="24" customHeight="1">
      <x:c r="A50" s="33" t="str">
        <x:v>Incidents</x:v>
      </x:c>
      <x:c r="B50" s="33" t="str">
        <x:v>status</x:v>
      </x:c>
      <x:c r="C50" s="33" t="str">
        <x:v>CLOSED</x:v>
      </x:c>
      <x:c r="D50" s="50" t="str">
        <x:v>Final closed state</x:v>
      </x:c>
      <x:c r="E50" s="34" t="b">
        <x:v>1</x:v>
      </x:c>
      <x:c r="F50" s="50" t="str">
        <x:v>Use exactly as written in API/database contracts</x:v>
      </x:c>
    </x:row>
    <x:row r="51" ht="24" customHeight="1">
      <x:c r="A51" s="33" t="str">
        <x:v>Incidents</x:v>
      </x:c>
      <x:c r="B51" s="33" t="str">
        <x:v>source</x:v>
      </x:c>
      <x:c r="C51" s="33" t="str">
        <x:v>WEB</x:v>
      </x:c>
      <x:c r="D51" s="50" t="str">
        <x:v>Allowed value: WEB</x:v>
      </x:c>
      <x:c r="E51" s="34" t="b">
        <x:v>0</x:v>
      </x:c>
      <x:c r="F51" s="50" t="str">
        <x:v>Use exactly as written in API/database contracts</x:v>
      </x:c>
    </x:row>
    <x:row r="52" ht="24" customHeight="1">
      <x:c r="A52" s="33" t="str">
        <x:v>Incidents</x:v>
      </x:c>
      <x:c r="B52" s="33" t="str">
        <x:v>source</x:v>
      </x:c>
      <x:c r="C52" s="33" t="str">
        <x:v>MOBILE</x:v>
      </x:c>
      <x:c r="D52" s="50" t="str">
        <x:v>Allowed value: MOBILE</x:v>
      </x:c>
      <x:c r="E52" s="34" t="b">
        <x:v>0</x:v>
      </x:c>
      <x:c r="F52" s="50" t="str">
        <x:v>Use exactly as written in API/database contracts</x:v>
      </x:c>
    </x:row>
    <x:row r="53" ht="24" customHeight="1">
      <x:c r="A53" s="33" t="str">
        <x:v>Incidents</x:v>
      </x:c>
      <x:c r="B53" s="33" t="str">
        <x:v>source</x:v>
      </x:c>
      <x:c r="C53" s="33" t="str">
        <x:v>INSPECTION</x:v>
      </x:c>
      <x:c r="D53" s="50" t="str">
        <x:v>Allowed value: INSPECTION</x:v>
      </x:c>
      <x:c r="E53" s="34" t="b">
        <x:v>0</x:v>
      </x:c>
      <x:c r="F53" s="50" t="str">
        <x:v>Use exactly as written in API/database contracts</x:v>
      </x:c>
    </x:row>
    <x:row r="54" ht="24" customHeight="1">
      <x:c r="A54" s="33" t="str">
        <x:v>Incidents</x:v>
      </x:c>
      <x:c r="B54" s="33" t="str">
        <x:v>source</x:v>
      </x:c>
      <x:c r="C54" s="33" t="str">
        <x:v>AI_EVENT</x:v>
      </x:c>
      <x:c r="D54" s="50" t="str">
        <x:v>Allowed value: AI_EVENT</x:v>
      </x:c>
      <x:c r="E54" s="34" t="b">
        <x:v>0</x:v>
      </x:c>
      <x:c r="F54" s="50" t="str">
        <x:v>Use exactly as written in API/database contracts</x:v>
      </x:c>
    </x:row>
    <x:row r="55" ht="24" customHeight="1">
      <x:c r="A55" s="33" t="str">
        <x:v>Incidents</x:v>
      </x:c>
      <x:c r="B55" s="33" t="str">
        <x:v>source</x:v>
      </x:c>
      <x:c r="C55" s="33" t="str">
        <x:v>IOT_EVENT</x:v>
      </x:c>
      <x:c r="D55" s="50" t="str">
        <x:v>Allowed value: IOT_EVENT</x:v>
      </x:c>
      <x:c r="E55" s="34" t="b">
        <x:v>0</x:v>
      </x:c>
      <x:c r="F55" s="50" t="str">
        <x:v>Use exactly as written in API/database contracts</x:v>
      </x:c>
    </x:row>
    <x:row r="56" ht="24" customHeight="1">
      <x:c r="A56" s="33" t="str">
        <x:v>Inspections</x:v>
      </x:c>
      <x:c r="B56" s="33" t="str">
        <x:v>status</x:v>
      </x:c>
      <x:c r="C56" s="33" t="str">
        <x:v>SCHEDULED</x:v>
      </x:c>
      <x:c r="D56" s="50" t="str">
        <x:v>Planned for future</x:v>
      </x:c>
      <x:c r="E56" s="34" t="b">
        <x:v>0</x:v>
      </x:c>
      <x:c r="F56" s="50" t="str">
        <x:v>Use exactly as written in API/database contracts</x:v>
      </x:c>
    </x:row>
    <x:row r="57" ht="24" customHeight="1">
      <x:c r="A57" s="33" t="str">
        <x:v>Inspections</x:v>
      </x:c>
      <x:c r="B57" s="33" t="str">
        <x:v>status</x:v>
      </x:c>
      <x:c r="C57" s="33" t="str">
        <x:v>IN_PROGRESS</x:v>
      </x:c>
      <x:c r="D57" s="50" t="str">
        <x:v>Work underway</x:v>
      </x:c>
      <x:c r="E57" s="34" t="b">
        <x:v>0</x:v>
      </x:c>
      <x:c r="F57" s="50" t="str">
        <x:v>Use exactly as written in API/database contracts</x:v>
      </x:c>
    </x:row>
    <x:row r="58" ht="24" customHeight="1">
      <x:c r="A58" s="33" t="str">
        <x:v>Inspections</x:v>
      </x:c>
      <x:c r="B58" s="33" t="str">
        <x:v>status</x:v>
      </x:c>
      <x:c r="C58" s="33" t="str">
        <x:v>COMPLETED</x:v>
      </x:c>
      <x:c r="D58" s="50" t="str">
        <x:v>Work completed</x:v>
      </x:c>
      <x:c r="E58" s="34" t="b">
        <x:v>1</x:v>
      </x:c>
      <x:c r="F58" s="50" t="str">
        <x:v>Use exactly as written in API/database contracts</x:v>
      </x:c>
    </x:row>
    <x:row r="59" ht="24" customHeight="1">
      <x:c r="A59" s="33" t="str">
        <x:v>Inspections</x:v>
      </x:c>
      <x:c r="B59" s="33" t="str">
        <x:v>status</x:v>
      </x:c>
      <x:c r="C59" s="33" t="str">
        <x:v>OVERDUE</x:v>
      </x:c>
      <x:c r="D59" s="50" t="str">
        <x:v>Past due and unfinished</x:v>
      </x:c>
      <x:c r="E59" s="34" t="b">
        <x:v>0</x:v>
      </x:c>
      <x:c r="F59" s="50" t="str">
        <x:v>Use exactly as written in API/database contracts</x:v>
      </x:c>
    </x:row>
    <x:row r="60" ht="24" customHeight="1">
      <x:c r="A60" s="33" t="str">
        <x:v>Inspections</x:v>
      </x:c>
      <x:c r="B60" s="33" t="str">
        <x:v>status</x:v>
      </x:c>
      <x:c r="C60" s="33" t="str">
        <x:v>CANCELLED</x:v>
      </x:c>
      <x:c r="D60" s="50" t="str">
        <x:v>Cancelled and ignored by automation</x:v>
      </x:c>
      <x:c r="E60" s="34" t="b">
        <x:v>1</x:v>
      </x:c>
      <x:c r="F60" s="50" t="str">
        <x:v>Use exactly as written in API/database contracts</x:v>
      </x:c>
    </x:row>
    <x:row r="61" ht="24" customHeight="1">
      <x:c r="A61" s="33" t="str">
        <x:v>Inspections</x:v>
      </x:c>
      <x:c r="B61" s="33" t="str">
        <x:v>mobile_mode</x:v>
      </x:c>
      <x:c r="C61" s="33" t="str">
        <x:v>ONLINE</x:v>
      </x:c>
      <x:c r="D61" s="50" t="str">
        <x:v>Allowed value: ONLINE</x:v>
      </x:c>
      <x:c r="E61" s="34" t="b">
        <x:v>0</x:v>
      </x:c>
      <x:c r="F61" s="50" t="str">
        <x:v>Use exactly as written in API/database contracts</x:v>
      </x:c>
    </x:row>
    <x:row r="62" ht="24" customHeight="1">
      <x:c r="A62" s="33" t="str">
        <x:v>Inspections</x:v>
      </x:c>
      <x:c r="B62" s="33" t="str">
        <x:v>mobile_mode</x:v>
      </x:c>
      <x:c r="C62" s="33" t="str">
        <x:v>OFFLINE</x:v>
      </x:c>
      <x:c r="D62" s="50" t="str">
        <x:v>Allowed value: OFFLINE</x:v>
      </x:c>
      <x:c r="E62" s="34" t="b">
        <x:v>0</x:v>
      </x:c>
      <x:c r="F62" s="50" t="str">
        <x:v>Use exactly as written in API/database contracts</x:v>
      </x:c>
    </x:row>
    <x:row r="63" ht="24" customHeight="1">
      <x:c r="A63" s="33" t="str">
        <x:v>Findings</x:v>
      </x:c>
      <x:c r="B63" s="33" t="str">
        <x:v>severity</x:v>
      </x:c>
      <x:c r="C63" s="33" t="str">
        <x:v>MINOR</x:v>
      </x:c>
      <x:c r="D63" s="50" t="str">
        <x:v>Allowed value: MINOR</x:v>
      </x:c>
      <x:c r="E63" s="34" t="b">
        <x:v>0</x:v>
      </x:c>
      <x:c r="F63" s="50" t="str">
        <x:v>Use exactly as written in API/database contracts</x:v>
      </x:c>
    </x:row>
    <x:row r="64" ht="24" customHeight="1">
      <x:c r="A64" s="33" t="str">
        <x:v>Findings</x:v>
      </x:c>
      <x:c r="B64" s="33" t="str">
        <x:v>severity</x:v>
      </x:c>
      <x:c r="C64" s="33" t="str">
        <x:v>MODERATE</x:v>
      </x:c>
      <x:c r="D64" s="50" t="str">
        <x:v>Allowed value: MODERATE</x:v>
      </x:c>
      <x:c r="E64" s="34" t="b">
        <x:v>0</x:v>
      </x:c>
      <x:c r="F64" s="50" t="str">
        <x:v>Use exactly as written in API/database contracts</x:v>
      </x:c>
    </x:row>
    <x:row r="65" ht="24" customHeight="1">
      <x:c r="A65" s="33" t="str">
        <x:v>Findings</x:v>
      </x:c>
      <x:c r="B65" s="33" t="str">
        <x:v>severity</x:v>
      </x:c>
      <x:c r="C65" s="33" t="str">
        <x:v>MAJOR</x:v>
      </x:c>
      <x:c r="D65" s="50" t="str">
        <x:v>Allowed value: MAJOR</x:v>
      </x:c>
      <x:c r="E65" s="34" t="b">
        <x:v>0</x:v>
      </x:c>
      <x:c r="F65" s="50" t="str">
        <x:v>Use exactly as written in API/database contracts</x:v>
      </x:c>
    </x:row>
    <x:row r="66" ht="24" customHeight="1">
      <x:c r="A66" s="33" t="str">
        <x:v>Findings</x:v>
      </x:c>
      <x:c r="B66" s="33" t="str">
        <x:v>severity</x:v>
      </x:c>
      <x:c r="C66" s="33" t="str">
        <x:v>CRITICAL</x:v>
      </x:c>
      <x:c r="D66" s="50" t="str">
        <x:v>Immediate/highest concern</x:v>
      </x:c>
      <x:c r="E66" s="34" t="b">
        <x:v>0</x:v>
      </x:c>
      <x:c r="F66" s="50" t="str">
        <x:v>Use exactly as written in API/database contracts</x:v>
      </x:c>
    </x:row>
    <x:row r="67" ht="24" customHeight="1">
      <x:c r="A67" s="33" t="str">
        <x:v>Findings</x:v>
      </x:c>
      <x:c r="B67" s="33" t="str">
        <x:v>status</x:v>
      </x:c>
      <x:c r="C67" s="33" t="str">
        <x:v>OPEN</x:v>
      </x:c>
      <x:c r="D67" s="50" t="str">
        <x:v>Open action/event</x:v>
      </x:c>
      <x:c r="E67" s="34" t="b">
        <x:v>0</x:v>
      </x:c>
      <x:c r="F67" s="50" t="str">
        <x:v>Use exactly as written in API/database contracts</x:v>
      </x:c>
    </x:row>
    <x:row r="68" ht="24" customHeight="1">
      <x:c r="A68" s="33" t="str">
        <x:v>Findings</x:v>
      </x:c>
      <x:c r="B68" s="33" t="str">
        <x:v>status</x:v>
      </x:c>
      <x:c r="C68" s="33" t="str">
        <x:v>IN_PROGRESS</x:v>
      </x:c>
      <x:c r="D68" s="50" t="str">
        <x:v>Work underway</x:v>
      </x:c>
      <x:c r="E68" s="34" t="b">
        <x:v>0</x:v>
      </x:c>
      <x:c r="F68" s="50" t="str">
        <x:v>Use exactly as written in API/database contracts</x:v>
      </x:c>
    </x:row>
    <x:row r="69" ht="24" customHeight="1">
      <x:c r="A69" s="33" t="str">
        <x:v>Findings</x:v>
      </x:c>
      <x:c r="B69" s="33" t="str">
        <x:v>status</x:v>
      </x:c>
      <x:c r="C69" s="33" t="str">
        <x:v>CLOSED</x:v>
      </x:c>
      <x:c r="D69" s="50" t="str">
        <x:v>Final closed state</x:v>
      </x:c>
      <x:c r="E69" s="34" t="b">
        <x:v>1</x:v>
      </x:c>
      <x:c r="F69" s="50" t="str">
        <x:v>Use exactly as written in API/database contracts</x:v>
      </x:c>
    </x:row>
    <x:row r="70" ht="24" customHeight="1">
      <x:c r="A70" s="33" t="str">
        <x:v>Findings</x:v>
      </x:c>
      <x:c r="B70" s="33" t="str">
        <x:v>status</x:v>
      </x:c>
      <x:c r="C70" s="33" t="str">
        <x:v>CANCELLED</x:v>
      </x:c>
      <x:c r="D70" s="50" t="str">
        <x:v>Cancelled and ignored by automation</x:v>
      </x:c>
      <x:c r="E70" s="34" t="b">
        <x:v>1</x:v>
      </x:c>
      <x:c r="F70" s="50" t="str">
        <x:v>Use exactly as written in API/database contracts</x:v>
      </x:c>
    </x:row>
    <x:row r="71" ht="24" customHeight="1">
      <x:c r="A71" s="33" t="str">
        <x:v>CAPA</x:v>
      </x:c>
      <x:c r="B71" s="33" t="str">
        <x:v>action_type</x:v>
      </x:c>
      <x:c r="C71" s="33" t="str">
        <x:v>CORRECTIVE</x:v>
      </x:c>
      <x:c r="D71" s="50" t="str">
        <x:v>Allowed value: CORRECTIVE</x:v>
      </x:c>
      <x:c r="E71" s="34" t="b">
        <x:v>0</x:v>
      </x:c>
      <x:c r="F71" s="50" t="str">
        <x:v>Use exactly as written in API/database contracts</x:v>
      </x:c>
    </x:row>
    <x:row r="72" ht="24" customHeight="1">
      <x:c r="A72" s="33" t="str">
        <x:v>CAPA</x:v>
      </x:c>
      <x:c r="B72" s="33" t="str">
        <x:v>action_type</x:v>
      </x:c>
      <x:c r="C72" s="33" t="str">
        <x:v>PREVENTIVE</x:v>
      </x:c>
      <x:c r="D72" s="50" t="str">
        <x:v>Allowed value: PREVENTIVE</x:v>
      </x:c>
      <x:c r="E72" s="34" t="b">
        <x:v>0</x:v>
      </x:c>
      <x:c r="F72" s="50" t="str">
        <x:v>Use exactly as written in API/database contracts</x:v>
      </x:c>
    </x:row>
    <x:row r="73" ht="24" customHeight="1">
      <x:c r="A73" s="33" t="str">
        <x:v>CAPA</x:v>
      </x:c>
      <x:c r="B73" s="33" t="str">
        <x:v>priority</x:v>
      </x:c>
      <x:c r="C73" s="33" t="str">
        <x:v>LOW</x:v>
      </x:c>
      <x:c r="D73" s="50" t="str">
        <x:v>Low priority</x:v>
      </x:c>
      <x:c r="E73" s="34" t="b">
        <x:v>0</x:v>
      </x:c>
      <x:c r="F73" s="50" t="str">
        <x:v>Use exactly as written in API/database contracts</x:v>
      </x:c>
    </x:row>
    <x:row r="74" ht="24" customHeight="1">
      <x:c r="A74" s="33" t="str">
        <x:v>CAPA</x:v>
      </x:c>
      <x:c r="B74" s="33" t="str">
        <x:v>priority</x:v>
      </x:c>
      <x:c r="C74" s="33" t="str">
        <x:v>MEDIUM</x:v>
      </x:c>
      <x:c r="D74" s="50" t="str">
        <x:v>Moderate priority</x:v>
      </x:c>
      <x:c r="E74" s="34" t="b">
        <x:v>0</x:v>
      </x:c>
      <x:c r="F74" s="50" t="str">
        <x:v>Use exactly as written in API/database contracts</x:v>
      </x:c>
    </x:row>
    <x:row r="75" ht="24" customHeight="1">
      <x:c r="A75" s="33" t="str">
        <x:v>CAPA</x:v>
      </x:c>
      <x:c r="B75" s="33" t="str">
        <x:v>priority</x:v>
      </x:c>
      <x:c r="C75" s="33" t="str">
        <x:v>HIGH</x:v>
      </x:c>
      <x:c r="D75" s="50" t="str">
        <x:v>High priority or severity</x:v>
      </x:c>
      <x:c r="E75" s="34" t="b">
        <x:v>0</x:v>
      </x:c>
      <x:c r="F75" s="50" t="str">
        <x:v>Use exactly as written in API/database contracts</x:v>
      </x:c>
    </x:row>
    <x:row r="76" ht="24" customHeight="1">
      <x:c r="A76" s="33" t="str">
        <x:v>CAPA</x:v>
      </x:c>
      <x:c r="B76" s="33" t="str">
        <x:v>priority</x:v>
      </x:c>
      <x:c r="C76" s="33" t="str">
        <x:v>CRITICAL</x:v>
      </x:c>
      <x:c r="D76" s="50" t="str">
        <x:v>Immediate/highest concern</x:v>
      </x:c>
      <x:c r="E76" s="34" t="b">
        <x:v>0</x:v>
      </x:c>
      <x:c r="F76" s="50" t="str">
        <x:v>Use exactly as written in API/database contracts</x:v>
      </x:c>
    </x:row>
    <x:row r="77" ht="24" customHeight="1">
      <x:c r="A77" s="33" t="str">
        <x:v>CAPA</x:v>
      </x:c>
      <x:c r="B77" s="33" t="str">
        <x:v>status</x:v>
      </x:c>
      <x:c r="C77" s="33" t="str">
        <x:v>DRAFT</x:v>
      </x:c>
      <x:c r="D77" s="50" t="str">
        <x:v>Not submitted</x:v>
      </x:c>
      <x:c r="E77" s="34" t="b">
        <x:v>0</x:v>
      </x:c>
      <x:c r="F77" s="50" t="str">
        <x:v>Use exactly as written in API/database contracts</x:v>
      </x:c>
    </x:row>
    <x:row r="78" ht="24" customHeight="1">
      <x:c r="A78" s="33" t="str">
        <x:v>CAPA</x:v>
      </x:c>
      <x:c r="B78" s="33" t="str">
        <x:v>status</x:v>
      </x:c>
      <x:c r="C78" s="33" t="str">
        <x:v>OPEN</x:v>
      </x:c>
      <x:c r="D78" s="50" t="str">
        <x:v>Open action/event</x:v>
      </x:c>
      <x:c r="E78" s="34" t="b">
        <x:v>0</x:v>
      </x:c>
      <x:c r="F78" s="50" t="str">
        <x:v>Use exactly as written in API/database contracts</x:v>
      </x:c>
    </x:row>
    <x:row r="79" ht="24" customHeight="1">
      <x:c r="A79" s="33" t="str">
        <x:v>CAPA</x:v>
      </x:c>
      <x:c r="B79" s="33" t="str">
        <x:v>status</x:v>
      </x:c>
      <x:c r="C79" s="33" t="str">
        <x:v>IN_PROGRESS</x:v>
      </x:c>
      <x:c r="D79" s="50" t="str">
        <x:v>Work underway</x:v>
      </x:c>
      <x:c r="E79" s="34" t="b">
        <x:v>0</x:v>
      </x:c>
      <x:c r="F79" s="50" t="str">
        <x:v>Use exactly as written in API/database contracts</x:v>
      </x:c>
    </x:row>
    <x:row r="80" ht="24" customHeight="1">
      <x:c r="A80" s="33" t="str">
        <x:v>CAPA</x:v>
      </x:c>
      <x:c r="B80" s="33" t="str">
        <x:v>status</x:v>
      </x:c>
      <x:c r="C80" s="33" t="str">
        <x:v>COMPLETED</x:v>
      </x:c>
      <x:c r="D80" s="50" t="str">
        <x:v>Work completed</x:v>
      </x:c>
      <x:c r="E80" s="34" t="b">
        <x:v>1</x:v>
      </x:c>
      <x:c r="F80" s="50" t="str">
        <x:v>Use exactly as written in API/database contracts</x:v>
      </x:c>
    </x:row>
    <x:row r="81" ht="24" customHeight="1">
      <x:c r="A81" s="33" t="str">
        <x:v>CAPA</x:v>
      </x:c>
      <x:c r="B81" s="33" t="str">
        <x:v>status</x:v>
      </x:c>
      <x:c r="C81" s="33" t="str">
        <x:v>CANCELLED</x:v>
      </x:c>
      <x:c r="D81" s="50" t="str">
        <x:v>Cancelled and ignored by automation</x:v>
      </x:c>
      <x:c r="E81" s="34" t="b">
        <x:v>1</x:v>
      </x:c>
      <x:c r="F81" s="50" t="str">
        <x:v>Use exactly as written in API/database contracts</x:v>
      </x:c>
    </x:row>
    <x:row r="82" ht="24" customHeight="1">
      <x:c r="A82" s="33" t="str">
        <x:v>CAPA</x:v>
      </x:c>
      <x:c r="B82" s="33" t="str">
        <x:v>verification_status</x:v>
      </x:c>
      <x:c r="C82" s="33" t="str">
        <x:v>NOT_REQUIRED</x:v>
      </x:c>
      <x:c r="D82" s="50" t="str">
        <x:v>Allowed value: NOT_REQUIRED</x:v>
      </x:c>
      <x:c r="E82" s="34" t="b">
        <x:v>0</x:v>
      </x:c>
      <x:c r="F82" s="50" t="str">
        <x:v>Use exactly as written in API/database contracts</x:v>
      </x:c>
    </x:row>
    <x:row r="83" ht="24" customHeight="1">
      <x:c r="A83" s="33" t="str">
        <x:v>CAPA</x:v>
      </x:c>
      <x:c r="B83" s="33" t="str">
        <x:v>verification_status</x:v>
      </x:c>
      <x:c r="C83" s="33" t="str">
        <x:v>PENDING</x:v>
      </x:c>
      <x:c r="D83" s="50" t="str">
        <x:v>Awaiting action</x:v>
      </x:c>
      <x:c r="E83" s="34" t="b">
        <x:v>0</x:v>
      </x:c>
      <x:c r="F83" s="50" t="str">
        <x:v>Use exactly as written in API/database contracts</x:v>
      </x:c>
    </x:row>
    <x:row r="84" ht="24" customHeight="1">
      <x:c r="A84" s="33" t="str">
        <x:v>CAPA</x:v>
      </x:c>
      <x:c r="B84" s="33" t="str">
        <x:v>verification_status</x:v>
      </x:c>
      <x:c r="C84" s="33" t="str">
        <x:v>PENDING_VERIFICATION</x:v>
      </x:c>
      <x:c r="D84" s="50" t="str">
        <x:v>Allowed value: PENDING_VERIFICATION</x:v>
      </x:c>
      <x:c r="E84" s="34" t="b">
        <x:v>0</x:v>
      </x:c>
      <x:c r="F84" s="50" t="str">
        <x:v>Use exactly as written in API/database contracts</x:v>
      </x:c>
    </x:row>
    <x:row r="85" ht="24" customHeight="1">
      <x:c r="A85" s="33" t="str">
        <x:v>CAPA</x:v>
      </x:c>
      <x:c r="B85" s="33" t="str">
        <x:v>verification_status</x:v>
      </x:c>
      <x:c r="C85" s="33" t="str">
        <x:v>VERIFIED</x:v>
      </x:c>
      <x:c r="D85" s="50" t="str">
        <x:v>Verification completed</x:v>
      </x:c>
      <x:c r="E85" s="34" t="b">
        <x:v>1</x:v>
      </x:c>
      <x:c r="F85" s="50" t="str">
        <x:v>Use exactly as written in API/database contracts</x:v>
      </x:c>
    </x:row>
    <x:row r="86" ht="24" customHeight="1">
      <x:c r="A86" s="33" t="str">
        <x:v>CAPA</x:v>
      </x:c>
      <x:c r="B86" s="33" t="str">
        <x:v>verification_status</x:v>
      </x:c>
      <x:c r="C86" s="33" t="str">
        <x:v>REJECTED</x:v>
      </x:c>
      <x:c r="D86" s="50" t="str">
        <x:v>Rejected by reviewer</x:v>
      </x:c>
      <x:c r="E86" s="34" t="b">
        <x:v>1</x:v>
      </x:c>
      <x:c r="F86" s="50" t="str">
        <x:v>Use exactly as written in API/database contracts</x:v>
      </x:c>
    </x:row>
    <x:row r="87" ht="24" customHeight="1">
      <x:c r="A87" s="33" t="str">
        <x:v>Risk_Register</x:v>
      </x:c>
      <x:c r="B87" s="33" t="str">
        <x:v>status</x:v>
      </x:c>
      <x:c r="C87" s="33" t="str">
        <x:v>ACTIVE</x:v>
      </x:c>
      <x:c r="D87" s="50" t="str">
        <x:v>Currently active/in force</x:v>
      </x:c>
      <x:c r="E87" s="34" t="b">
        <x:v>0</x:v>
      </x:c>
      <x:c r="F87" s="50" t="str">
        <x:v>Use exactly as written in API/database contracts</x:v>
      </x:c>
    </x:row>
    <x:row r="88" ht="24" customHeight="1">
      <x:c r="A88" s="33" t="str">
        <x:v>Risk_Register</x:v>
      </x:c>
      <x:c r="B88" s="33" t="str">
        <x:v>status</x:v>
      </x:c>
      <x:c r="C88" s="33" t="str">
        <x:v>UNDER_REVIEW</x:v>
      </x:c>
      <x:c r="D88" s="50" t="str">
        <x:v>Allowed value: UNDER_REVIEW</x:v>
      </x:c>
      <x:c r="E88" s="34" t="b">
        <x:v>0</x:v>
      </x:c>
      <x:c r="F88" s="50" t="str">
        <x:v>Use exactly as written in API/database contracts</x:v>
      </x:c>
    </x:row>
    <x:row r="89" ht="24" customHeight="1">
      <x:c r="A89" s="33" t="str">
        <x:v>Risk_Register</x:v>
      </x:c>
      <x:c r="B89" s="33" t="str">
        <x:v>status</x:v>
      </x:c>
      <x:c r="C89" s="33" t="str">
        <x:v>CLOSED</x:v>
      </x:c>
      <x:c r="D89" s="50" t="str">
        <x:v>Final closed state</x:v>
      </x:c>
      <x:c r="E89" s="34" t="b">
        <x:v>1</x:v>
      </x:c>
      <x:c r="F89" s="50" t="str">
        <x:v>Use exactly as written in API/database contracts</x:v>
      </x:c>
    </x:row>
    <x:row r="90" ht="24" customHeight="1">
      <x:c r="A90" s="33" t="str">
        <x:v>JSA</x:v>
      </x:c>
      <x:c r="B90" s="33" t="str">
        <x:v>frequency</x:v>
      </x:c>
      <x:c r="C90" s="33" t="str">
        <x:v>DAILY</x:v>
      </x:c>
      <x:c r="D90" s="50" t="str">
        <x:v>Allowed value: DAILY</x:v>
      </x:c>
      <x:c r="E90" s="34" t="b">
        <x:v>0</x:v>
      </x:c>
      <x:c r="F90" s="50" t="str">
        <x:v>Use exactly as written in API/database contracts</x:v>
      </x:c>
    </x:row>
    <x:row r="91" ht="24" customHeight="1">
      <x:c r="A91" s="33" t="str">
        <x:v>JSA</x:v>
      </x:c>
      <x:c r="B91" s="33" t="str">
        <x:v>frequency</x:v>
      </x:c>
      <x:c r="C91" s="33" t="str">
        <x:v>WEEKLY</x:v>
      </x:c>
      <x:c r="D91" s="50" t="str">
        <x:v>Allowed value: WEEKLY</x:v>
      </x:c>
      <x:c r="E91" s="34" t="b">
        <x:v>0</x:v>
      </x:c>
      <x:c r="F91" s="50" t="str">
        <x:v>Use exactly as written in API/database contracts</x:v>
      </x:c>
    </x:row>
    <x:row r="92" ht="24" customHeight="1">
      <x:c r="A92" s="33" t="str">
        <x:v>JSA</x:v>
      </x:c>
      <x:c r="B92" s="33" t="str">
        <x:v>frequency</x:v>
      </x:c>
      <x:c r="C92" s="33" t="str">
        <x:v>MONTHLY</x:v>
      </x:c>
      <x:c r="D92" s="50" t="str">
        <x:v>Allowed value: MONTHLY</x:v>
      </x:c>
      <x:c r="E92" s="34" t="b">
        <x:v>0</x:v>
      </x:c>
      <x:c r="F92" s="50" t="str">
        <x:v>Use exactly as written in API/database contracts</x:v>
      </x:c>
    </x:row>
    <x:row r="93" ht="24" customHeight="1">
      <x:c r="A93" s="33" t="str">
        <x:v>JSA</x:v>
      </x:c>
      <x:c r="B93" s="33" t="str">
        <x:v>frequency</x:v>
      </x:c>
      <x:c r="C93" s="33" t="str">
        <x:v>QUARTERLY</x:v>
      </x:c>
      <x:c r="D93" s="50" t="str">
        <x:v>Allowed value: QUARTERLY</x:v>
      </x:c>
      <x:c r="E93" s="34" t="b">
        <x:v>0</x:v>
      </x:c>
      <x:c r="F93" s="50" t="str">
        <x:v>Use exactly as written in API/database contracts</x:v>
      </x:c>
    </x:row>
    <x:row r="94" ht="24" customHeight="1">
      <x:c r="A94" s="33" t="str">
        <x:v>JSA</x:v>
      </x:c>
      <x:c r="B94" s="33" t="str">
        <x:v>frequency</x:v>
      </x:c>
      <x:c r="C94" s="33" t="str">
        <x:v>ANNUAL</x:v>
      </x:c>
      <x:c r="D94" s="50" t="str">
        <x:v>Allowed value: ANNUAL</x:v>
      </x:c>
      <x:c r="E94" s="34" t="b">
        <x:v>0</x:v>
      </x:c>
      <x:c r="F94" s="50" t="str">
        <x:v>Use exactly as written in API/database contracts</x:v>
      </x:c>
    </x:row>
    <x:row r="95" ht="24" customHeight="1">
      <x:c r="A95" s="33" t="str">
        <x:v>JSA</x:v>
      </x:c>
      <x:c r="B95" s="33" t="str">
        <x:v>frequency</x:v>
      </x:c>
      <x:c r="C95" s="33" t="str">
        <x:v>AS_NEEDED</x:v>
      </x:c>
      <x:c r="D95" s="50" t="str">
        <x:v>Allowed value: AS_NEEDED</x:v>
      </x:c>
      <x:c r="E95" s="34" t="b">
        <x:v>0</x:v>
      </x:c>
      <x:c r="F95" s="50" t="str">
        <x:v>Use exactly as written in API/database contracts</x:v>
      </x:c>
    </x:row>
    <x:row r="96" ht="24" customHeight="1">
      <x:c r="A96" s="33" t="str">
        <x:v>JSA</x:v>
      </x:c>
      <x:c r="B96" s="33" t="str">
        <x:v>status</x:v>
      </x:c>
      <x:c r="C96" s="33" t="str">
        <x:v>DRAFT</x:v>
      </x:c>
      <x:c r="D96" s="50" t="str">
        <x:v>Not submitted</x:v>
      </x:c>
      <x:c r="E96" s="34" t="b">
        <x:v>0</x:v>
      </x:c>
      <x:c r="F96" s="50" t="str">
        <x:v>Use exactly as written in API/database contracts</x:v>
      </x:c>
    </x:row>
    <x:row r="97" ht="24" customHeight="1">
      <x:c r="A97" s="33" t="str">
        <x:v>JSA</x:v>
      </x:c>
      <x:c r="B97" s="33" t="str">
        <x:v>status</x:v>
      </x:c>
      <x:c r="C97" s="33" t="str">
        <x:v>PENDING_APPROVAL</x:v>
      </x:c>
      <x:c r="D97" s="50" t="str">
        <x:v>Awaiting approval</x:v>
      </x:c>
      <x:c r="E97" s="34" t="b">
        <x:v>0</x:v>
      </x:c>
      <x:c r="F97" s="50" t="str">
        <x:v>Use exactly as written in API/database contracts</x:v>
      </x:c>
    </x:row>
    <x:row r="98" ht="24" customHeight="1">
      <x:c r="A98" s="33" t="str">
        <x:v>JSA</x:v>
      </x:c>
      <x:c r="B98" s="33" t="str">
        <x:v>status</x:v>
      </x:c>
      <x:c r="C98" s="33" t="str">
        <x:v>APPROVED</x:v>
      </x:c>
      <x:c r="D98" s="50" t="str">
        <x:v>Allowed value: APPROVED</x:v>
      </x:c>
      <x:c r="E98" s="34" t="b">
        <x:v>0</x:v>
      </x:c>
      <x:c r="F98" s="50" t="str">
        <x:v>Use exactly as written in API/database contracts</x:v>
      </x:c>
    </x:row>
    <x:row r="99" ht="24" customHeight="1">
      <x:c r="A99" s="33" t="str">
        <x:v>JSA</x:v>
      </x:c>
      <x:c r="B99" s="33" t="str">
        <x:v>status</x:v>
      </x:c>
      <x:c r="C99" s="33" t="str">
        <x:v>REJECTED</x:v>
      </x:c>
      <x:c r="D99" s="50" t="str">
        <x:v>Rejected by reviewer</x:v>
      </x:c>
      <x:c r="E99" s="34" t="b">
        <x:v>1</x:v>
      </x:c>
      <x:c r="F99" s="50" t="str">
        <x:v>Use exactly as written in API/database contracts</x:v>
      </x:c>
    </x:row>
    <x:row r="100" ht="24" customHeight="1">
      <x:c r="A100" s="33" t="str">
        <x:v>JSA</x:v>
      </x:c>
      <x:c r="B100" s="33" t="str">
        <x:v>status</x:v>
      </x:c>
      <x:c r="C100" s="33" t="str">
        <x:v>ARCHIVED</x:v>
      </x:c>
      <x:c r="D100" s="50" t="str">
        <x:v>Allowed value: ARCHIVED</x:v>
      </x:c>
      <x:c r="E100" s="34" t="b">
        <x:v>1</x:v>
      </x:c>
      <x:c r="F100" s="50" t="str">
        <x:v>Use exactly as written in API/database contracts</x:v>
      </x:c>
    </x:row>
    <x:row r="101" ht="24" customHeight="1">
      <x:c r="A101" s="33" t="str">
        <x:v>JSA_Steps</x:v>
      </x:c>
      <x:c r="B101" s="33" t="str">
        <x:v>control_level</x:v>
      </x:c>
      <x:c r="C101" s="33" t="str">
        <x:v>ELIMINATION</x:v>
      </x:c>
      <x:c r="D101" s="50" t="str">
        <x:v>Allowed value: ELIMINATION</x:v>
      </x:c>
      <x:c r="E101" s="34" t="b">
        <x:v>0</x:v>
      </x:c>
      <x:c r="F101" s="50" t="str">
        <x:v>Use exactly as written in API/database contracts</x:v>
      </x:c>
    </x:row>
    <x:row r="102" ht="24" customHeight="1">
      <x:c r="A102" s="33" t="str">
        <x:v>JSA_Steps</x:v>
      </x:c>
      <x:c r="B102" s="33" t="str">
        <x:v>control_level</x:v>
      </x:c>
      <x:c r="C102" s="33" t="str">
        <x:v>SUBSTITUTION</x:v>
      </x:c>
      <x:c r="D102" s="50" t="str">
        <x:v>Allowed value: SUBSTITUTION</x:v>
      </x:c>
      <x:c r="E102" s="34" t="b">
        <x:v>0</x:v>
      </x:c>
      <x:c r="F102" s="50" t="str">
        <x:v>Use exactly as written in API/database contracts</x:v>
      </x:c>
    </x:row>
    <x:row r="103" ht="24" customHeight="1">
      <x:c r="A103" s="33" t="str">
        <x:v>JSA_Steps</x:v>
      </x:c>
      <x:c r="B103" s="33" t="str">
        <x:v>control_level</x:v>
      </x:c>
      <x:c r="C103" s="33" t="str">
        <x:v>ENGINEERING</x:v>
      </x:c>
      <x:c r="D103" s="50" t="str">
        <x:v>Allowed value: ENGINEERING</x:v>
      </x:c>
      <x:c r="E103" s="34" t="b">
        <x:v>0</x:v>
      </x:c>
      <x:c r="F103" s="50" t="str">
        <x:v>Use exactly as written in API/database contracts</x:v>
      </x:c>
    </x:row>
    <x:row r="104" ht="24" customHeight="1">
      <x:c r="A104" s="33" t="str">
        <x:v>JSA_Steps</x:v>
      </x:c>
      <x:c r="B104" s="33" t="str">
        <x:v>control_level</x:v>
      </x:c>
      <x:c r="C104" s="33" t="str">
        <x:v>ADMINISTRATIVE</x:v>
      </x:c>
      <x:c r="D104" s="50" t="str">
        <x:v>Allowed value: ADMINISTRATIVE</x:v>
      </x:c>
      <x:c r="E104" s="34" t="b">
        <x:v>0</x:v>
      </x:c>
      <x:c r="F104" s="50" t="str">
        <x:v>Use exactly as written in API/database contracts</x:v>
      </x:c>
    </x:row>
    <x:row r="105" ht="24" customHeight="1">
      <x:c r="A105" s="33" t="str">
        <x:v>JSA_Steps</x:v>
      </x:c>
      <x:c r="B105" s="33" t="str">
        <x:v>control_level</x:v>
      </x:c>
      <x:c r="C105" s="33" t="str">
        <x:v>PPE</x:v>
      </x:c>
      <x:c r="D105" s="50" t="str">
        <x:v>Allowed value: PPE</x:v>
      </x:c>
      <x:c r="E105" s="34" t="b">
        <x:v>0</x:v>
      </x:c>
      <x:c r="F105" s="50" t="str">
        <x:v>Use exactly as written in API/database contracts</x:v>
      </x:c>
    </x:row>
    <x:row r="106" ht="24" customHeight="1">
      <x:c r="A106" s="33" t="str">
        <x:v>Permits</x:v>
      </x:c>
      <x:c r="B106" s="33" t="str">
        <x:v>permit_type</x:v>
      </x:c>
      <x:c r="C106" s="33" t="str">
        <x:v>HOT_WORK</x:v>
      </x:c>
      <x:c r="D106" s="50" t="str">
        <x:v>Allowed value: HOT_WORK</x:v>
      </x:c>
      <x:c r="E106" s="34" t="b">
        <x:v>0</x:v>
      </x:c>
      <x:c r="F106" s="50" t="str">
        <x:v>Use exactly as written in API/database contracts</x:v>
      </x:c>
    </x:row>
    <x:row r="107" ht="24" customHeight="1">
      <x:c r="A107" s="33" t="str">
        <x:v>Permits</x:v>
      </x:c>
      <x:c r="B107" s="33" t="str">
        <x:v>permit_type</x:v>
      </x:c>
      <x:c r="C107" s="33" t="str">
        <x:v>ELECTRICAL</x:v>
      </x:c>
      <x:c r="D107" s="50" t="str">
        <x:v>Allowed value: ELECTRICAL</x:v>
      </x:c>
      <x:c r="E107" s="34" t="b">
        <x:v>0</x:v>
      </x:c>
      <x:c r="F107" s="50" t="str">
        <x:v>Use exactly as written in API/database contracts</x:v>
      </x:c>
    </x:row>
    <x:row r="108" ht="24" customHeight="1">
      <x:c r="A108" s="33" t="str">
        <x:v>Permits</x:v>
      </x:c>
      <x:c r="B108" s="33" t="str">
        <x:v>permit_type</x:v>
      </x:c>
      <x:c r="C108" s="33" t="str">
        <x:v>WORK_AT_HEIGHT</x:v>
      </x:c>
      <x:c r="D108" s="50" t="str">
        <x:v>Allowed value: WORK_AT_HEIGHT</x:v>
      </x:c>
      <x:c r="E108" s="34" t="b">
        <x:v>0</x:v>
      </x:c>
      <x:c r="F108" s="50" t="str">
        <x:v>Use exactly as written in API/database contracts</x:v>
      </x:c>
    </x:row>
    <x:row r="109" ht="24" customHeight="1">
      <x:c r="A109" s="33" t="str">
        <x:v>Permits</x:v>
      </x:c>
      <x:c r="B109" s="33" t="str">
        <x:v>permit_type</x:v>
      </x:c>
      <x:c r="C109" s="33" t="str">
        <x:v>CONFINED_SPACE</x:v>
      </x:c>
      <x:c r="D109" s="50" t="str">
        <x:v>Allowed value: CONFINED_SPACE</x:v>
      </x:c>
      <x:c r="E109" s="34" t="b">
        <x:v>0</x:v>
      </x:c>
      <x:c r="F109" s="50" t="str">
        <x:v>Use exactly as written in API/database contracts</x:v>
      </x:c>
    </x:row>
    <x:row r="110" ht="24" customHeight="1">
      <x:c r="A110" s="33" t="str">
        <x:v>Permits</x:v>
      </x:c>
      <x:c r="B110" s="33" t="str">
        <x:v>permit_type</x:v>
      </x:c>
      <x:c r="C110" s="33" t="str">
        <x:v>MECHANICAL_LOTO</x:v>
      </x:c>
      <x:c r="D110" s="50" t="str">
        <x:v>Allowed value: MECHANICAL_LOTO</x:v>
      </x:c>
      <x:c r="E110" s="34" t="b">
        <x:v>0</x:v>
      </x:c>
      <x:c r="F110" s="50" t="str">
        <x:v>Use exactly as written in API/database contracts</x:v>
      </x:c>
    </x:row>
    <x:row r="111" ht="24" customHeight="1">
      <x:c r="A111" s="33" t="str">
        <x:v>Permits</x:v>
      </x:c>
      <x:c r="B111" s="33" t="str">
        <x:v>permit_type</x:v>
      </x:c>
      <x:c r="C111" s="33" t="str">
        <x:v>EXCAVATION</x:v>
      </x:c>
      <x:c r="D111" s="50" t="str">
        <x:v>Allowed value: EXCAVATION</x:v>
      </x:c>
      <x:c r="E111" s="34" t="b">
        <x:v>0</x:v>
      </x:c>
      <x:c r="F111" s="50" t="str">
        <x:v>Use exactly as written in API/database contracts</x:v>
      </x:c>
    </x:row>
    <x:row r="112" ht="24" customHeight="1">
      <x:c r="A112" s="33" t="str">
        <x:v>Permits</x:v>
      </x:c>
      <x:c r="B112" s="33" t="str">
        <x:v>permit_type</x:v>
      </x:c>
      <x:c r="C112" s="33" t="str">
        <x:v>RADIOGRAPHY</x:v>
      </x:c>
      <x:c r="D112" s="50" t="str">
        <x:v>Allowed value: RADIOGRAPHY</x:v>
      </x:c>
      <x:c r="E112" s="34" t="b">
        <x:v>0</x:v>
      </x:c>
      <x:c r="F112" s="50" t="str">
        <x:v>Use exactly as written in API/database contracts</x:v>
      </x:c>
    </x:row>
    <x:row r="113" ht="24" customHeight="1">
      <x:c r="A113" s="33" t="str">
        <x:v>Permits</x:v>
      </x:c>
      <x:c r="B113" s="33" t="str">
        <x:v>executor_type</x:v>
      </x:c>
      <x:c r="C113" s="33" t="str">
        <x:v>INTERNAL</x:v>
      </x:c>
      <x:c r="D113" s="50" t="str">
        <x:v>Allowed value: INTERNAL</x:v>
      </x:c>
      <x:c r="E113" s="34" t="b">
        <x:v>0</x:v>
      </x:c>
      <x:c r="F113" s="50" t="str">
        <x:v>Use exactly as written in API/database contracts</x:v>
      </x:c>
    </x:row>
    <x:row r="114" ht="24" customHeight="1">
      <x:c r="A114" s="33" t="str">
        <x:v>Permits</x:v>
      </x:c>
      <x:c r="B114" s="33" t="str">
        <x:v>executor_type</x:v>
      </x:c>
      <x:c r="C114" s="33" t="str">
        <x:v>CONTRACTOR</x:v>
      </x:c>
      <x:c r="D114" s="50" t="str">
        <x:v>Allowed value: CONTRACTOR</x:v>
      </x:c>
      <x:c r="E114" s="34" t="b">
        <x:v>0</x:v>
      </x:c>
      <x:c r="F114" s="50" t="str">
        <x:v>Use exactly as written in API/database contracts</x:v>
      </x:c>
    </x:row>
    <x:row r="115" ht="24" customHeight="1">
      <x:c r="A115" s="33" t="str">
        <x:v>Permits</x:v>
      </x:c>
      <x:c r="B115" s="33" t="str">
        <x:v>risk_level</x:v>
      </x:c>
      <x:c r="C115" s="33" t="str">
        <x:v>LOW</x:v>
      </x:c>
      <x:c r="D115" s="50" t="str">
        <x:v>Low priority</x:v>
      </x:c>
      <x:c r="E115" s="34" t="b">
        <x:v>0</x:v>
      </x:c>
      <x:c r="F115" s="50" t="str">
        <x:v>Use exactly as written in API/database contracts</x:v>
      </x:c>
    </x:row>
    <x:row r="116" ht="24" customHeight="1">
      <x:c r="A116" s="33" t="str">
        <x:v>Permits</x:v>
      </x:c>
      <x:c r="B116" s="33" t="str">
        <x:v>risk_level</x:v>
      </x:c>
      <x:c r="C116" s="33" t="str">
        <x:v>MEDIUM</x:v>
      </x:c>
      <x:c r="D116" s="50" t="str">
        <x:v>Moderate priority</x:v>
      </x:c>
      <x:c r="E116" s="34" t="b">
        <x:v>0</x:v>
      </x:c>
      <x:c r="F116" s="50" t="str">
        <x:v>Use exactly as written in API/database contracts</x:v>
      </x:c>
    </x:row>
    <x:row r="117" ht="24" customHeight="1">
      <x:c r="A117" s="33" t="str">
        <x:v>Permits</x:v>
      </x:c>
      <x:c r="B117" s="33" t="str">
        <x:v>risk_level</x:v>
      </x:c>
      <x:c r="C117" s="33" t="str">
        <x:v>HIGH</x:v>
      </x:c>
      <x:c r="D117" s="50" t="str">
        <x:v>High priority or severity</x:v>
      </x:c>
      <x:c r="E117" s="34" t="b">
        <x:v>0</x:v>
      </x:c>
      <x:c r="F117" s="50" t="str">
        <x:v>Use exactly as written in API/database contracts</x:v>
      </x:c>
    </x:row>
    <x:row r="118" ht="24" customHeight="1">
      <x:c r="A118" s="33" t="str">
        <x:v>Permits</x:v>
      </x:c>
      <x:c r="B118" s="33" t="str">
        <x:v>risk_level</x:v>
      </x:c>
      <x:c r="C118" s="33" t="str">
        <x:v>CRITICAL</x:v>
      </x:c>
      <x:c r="D118" s="50" t="str">
        <x:v>Immediate/highest concern</x:v>
      </x:c>
      <x:c r="E118" s="34" t="b">
        <x:v>0</x:v>
      </x:c>
      <x:c r="F118" s="50" t="str">
        <x:v>Use exactly as written in API/database contracts</x:v>
      </x:c>
    </x:row>
    <x:row r="119" ht="24" customHeight="1">
      <x:c r="A119" s="33" t="str">
        <x:v>Permits</x:v>
      </x:c>
      <x:c r="B119" s="33" t="str">
        <x:v>status</x:v>
      </x:c>
      <x:c r="C119" s="33" t="str">
        <x:v>DRAFT</x:v>
      </x:c>
      <x:c r="D119" s="50" t="str">
        <x:v>Not submitted</x:v>
      </x:c>
      <x:c r="E119" s="34" t="b">
        <x:v>0</x:v>
      </x:c>
      <x:c r="F119" s="50" t="str">
        <x:v>Use exactly as written in API/database contracts</x:v>
      </x:c>
    </x:row>
    <x:row r="120" ht="24" customHeight="1">
      <x:c r="A120" s="33" t="str">
        <x:v>Permits</x:v>
      </x:c>
      <x:c r="B120" s="33" t="str">
        <x:v>status</x:v>
      </x:c>
      <x:c r="C120" s="33" t="str">
        <x:v>PENDING_APPROVAL</x:v>
      </x:c>
      <x:c r="D120" s="50" t="str">
        <x:v>Awaiting approval</x:v>
      </x:c>
      <x:c r="E120" s="34" t="b">
        <x:v>0</x:v>
      </x:c>
      <x:c r="F120" s="50" t="str">
        <x:v>Use exactly as written in API/database contracts</x:v>
      </x:c>
    </x:row>
    <x:row r="121" ht="24" customHeight="1">
      <x:c r="A121" s="33" t="str">
        <x:v>Permits</x:v>
      </x:c>
      <x:c r="B121" s="33" t="str">
        <x:v>status</x:v>
      </x:c>
      <x:c r="C121" s="33" t="str">
        <x:v>ACTIVE</x:v>
      </x:c>
      <x:c r="D121" s="50" t="str">
        <x:v>Currently active/in force</x:v>
      </x:c>
      <x:c r="E121" s="34" t="b">
        <x:v>0</x:v>
      </x:c>
      <x:c r="F121" s="50" t="str">
        <x:v>Use exactly as written in API/database contracts</x:v>
      </x:c>
    </x:row>
    <x:row r="122" ht="24" customHeight="1">
      <x:c r="A122" s="33" t="str">
        <x:v>Permits</x:v>
      </x:c>
      <x:c r="B122" s="33" t="str">
        <x:v>status</x:v>
      </x:c>
      <x:c r="C122" s="33" t="str">
        <x:v>SUSPENDED</x:v>
      </x:c>
      <x:c r="D122" s="50" t="str">
        <x:v>Temporarily blocked</x:v>
      </x:c>
      <x:c r="E122" s="34" t="b">
        <x:v>0</x:v>
      </x:c>
      <x:c r="F122" s="50" t="str">
        <x:v>Use exactly as written in API/database contracts</x:v>
      </x:c>
    </x:row>
    <x:row r="123" ht="24" customHeight="1">
      <x:c r="A123" s="33" t="str">
        <x:v>Permits</x:v>
      </x:c>
      <x:c r="B123" s="33" t="str">
        <x:v>status</x:v>
      </x:c>
      <x:c r="C123" s="33" t="str">
        <x:v>EXPIRED</x:v>
      </x:c>
      <x:c r="D123" s="50" t="str">
        <x:v>Past validity</x:v>
      </x:c>
      <x:c r="E123" s="34" t="b">
        <x:v>1</x:v>
      </x:c>
      <x:c r="F123" s="50" t="str">
        <x:v>Use exactly as written in API/database contracts</x:v>
      </x:c>
    </x:row>
    <x:row r="124" ht="24" customHeight="1">
      <x:c r="A124" s="33" t="str">
        <x:v>Permits</x:v>
      </x:c>
      <x:c r="B124" s="33" t="str">
        <x:v>status</x:v>
      </x:c>
      <x:c r="C124" s="33" t="str">
        <x:v>CLOSED</x:v>
      </x:c>
      <x:c r="D124" s="50" t="str">
        <x:v>Final closed state</x:v>
      </x:c>
      <x:c r="E124" s="34" t="b">
        <x:v>1</x:v>
      </x:c>
      <x:c r="F124" s="50" t="str">
        <x:v>Use exactly as written in API/database contracts</x:v>
      </x:c>
    </x:row>
    <x:row r="125" ht="24" customHeight="1">
      <x:c r="A125" s="33" t="str">
        <x:v>Permits</x:v>
      </x:c>
      <x:c r="B125" s="33" t="str">
        <x:v>status</x:v>
      </x:c>
      <x:c r="C125" s="33" t="str">
        <x:v>CANCELLED</x:v>
      </x:c>
      <x:c r="D125" s="50" t="str">
        <x:v>Cancelled and ignored by automation</x:v>
      </x:c>
      <x:c r="E125" s="34" t="b">
        <x:v>1</x:v>
      </x:c>
      <x:c r="F125" s="50" t="str">
        <x:v>Use exactly as written in API/database contracts</x:v>
      </x:c>
    </x:row>
    <x:row r="126" ht="24" customHeight="1">
      <x:c r="A126" s="33" t="str">
        <x:v>Permits</x:v>
      </x:c>
      <x:c r="B126" s="33" t="str">
        <x:v>status</x:v>
      </x:c>
      <x:c r="C126" s="33" t="str">
        <x:v>REJECTED</x:v>
      </x:c>
      <x:c r="D126" s="50" t="str">
        <x:v>Rejected by reviewer</x:v>
      </x:c>
      <x:c r="E126" s="34" t="b">
        <x:v>1</x:v>
      </x:c>
      <x:c r="F126" s="50" t="str">
        <x:v>Use exactly as written in API/database contracts</x:v>
      </x:c>
    </x:row>
    <x:row r="127" ht="24" customHeight="1">
      <x:c r="A127" s="33" t="str">
        <x:v>Permit_Approvals</x:v>
      </x:c>
      <x:c r="B127" s="33" t="str">
        <x:v>approver_role</x:v>
      </x:c>
      <x:c r="C127" s="33" t="str">
        <x:v>REQUESTER</x:v>
      </x:c>
      <x:c r="D127" s="50" t="str">
        <x:v>Allowed value: REQUESTER</x:v>
      </x:c>
      <x:c r="E127" s="34" t="b">
        <x:v>0</x:v>
      </x:c>
      <x:c r="F127" s="50" t="str">
        <x:v>Use exactly as written in API/database contracts</x:v>
      </x:c>
    </x:row>
    <x:row r="128" ht="24" customHeight="1">
      <x:c r="A128" s="33" t="str">
        <x:v>Permit_Approvals</x:v>
      </x:c>
      <x:c r="B128" s="33" t="str">
        <x:v>approver_role</x:v>
      </x:c>
      <x:c r="C128" s="33" t="str">
        <x:v>AREA_SUPERVISOR</x:v>
      </x:c>
      <x:c r="D128" s="50" t="str">
        <x:v>Allowed value: AREA_SUPERVISOR</x:v>
      </x:c>
      <x:c r="E128" s="34" t="b">
        <x:v>0</x:v>
      </x:c>
      <x:c r="F128" s="50" t="str">
        <x:v>Use exactly as written in API/database contracts</x:v>
      </x:c>
    </x:row>
    <x:row r="129" ht="24" customHeight="1">
      <x:c r="A129" s="33" t="str">
        <x:v>Permit_Approvals</x:v>
      </x:c>
      <x:c r="B129" s="33" t="str">
        <x:v>approver_role</x:v>
      </x:c>
      <x:c r="C129" s="33" t="str">
        <x:v>HSE_OFFICER</x:v>
      </x:c>
      <x:c r="D129" s="50" t="str">
        <x:v>Allowed value: HSE_OFFICER</x:v>
      </x:c>
      <x:c r="E129" s="34" t="b">
        <x:v>0</x:v>
      </x:c>
      <x:c r="F129" s="50" t="str">
        <x:v>Use exactly as written in API/database contracts</x:v>
      </x:c>
    </x:row>
    <x:row r="130" ht="24" customHeight="1">
      <x:c r="A130" s="33" t="str">
        <x:v>Permit_Approvals</x:v>
      </x:c>
      <x:c r="B130" s="33" t="str">
        <x:v>approver_role</x:v>
      </x:c>
      <x:c r="C130" s="33" t="str">
        <x:v>HSE_MANAGER</x:v>
      </x:c>
      <x:c r="D130" s="50" t="str">
        <x:v>Allowed value: HSE_MANAGER</x:v>
      </x:c>
      <x:c r="E130" s="34" t="b">
        <x:v>0</x:v>
      </x:c>
      <x:c r="F130" s="50" t="str">
        <x:v>Use exactly as written in API/database contracts</x:v>
      </x:c>
    </x:row>
    <x:row r="131" ht="24" customHeight="1">
      <x:c r="A131" s="33" t="str">
        <x:v>Permit_Approvals</x:v>
      </x:c>
      <x:c r="B131" s="33" t="str">
        <x:v>decision</x:v>
      </x:c>
      <x:c r="C131" s="33" t="str">
        <x:v>PENDING</x:v>
      </x:c>
      <x:c r="D131" s="50" t="str">
        <x:v>Awaiting action</x:v>
      </x:c>
      <x:c r="E131" s="34" t="b">
        <x:v>0</x:v>
      </x:c>
      <x:c r="F131" s="50" t="str">
        <x:v>Use exactly as written in API/database contracts</x:v>
      </x:c>
    </x:row>
    <x:row r="132" ht="24" customHeight="1">
      <x:c r="A132" s="33" t="str">
        <x:v>Permit_Approvals</x:v>
      </x:c>
      <x:c r="B132" s="33" t="str">
        <x:v>decision</x:v>
      </x:c>
      <x:c r="C132" s="33" t="str">
        <x:v>APPROVED</x:v>
      </x:c>
      <x:c r="D132" s="50" t="str">
        <x:v>Allowed value: APPROVED</x:v>
      </x:c>
      <x:c r="E132" s="34" t="b">
        <x:v>0</x:v>
      </x:c>
      <x:c r="F132" s="50" t="str">
        <x:v>Use exactly as written in API/database contracts</x:v>
      </x:c>
    </x:row>
    <x:row r="133" ht="24" customHeight="1">
      <x:c r="A133" s="33" t="str">
        <x:v>Permit_Approvals</x:v>
      </x:c>
      <x:c r="B133" s="33" t="str">
        <x:v>decision</x:v>
      </x:c>
      <x:c r="C133" s="33" t="str">
        <x:v>REJECTED</x:v>
      </x:c>
      <x:c r="D133" s="50" t="str">
        <x:v>Rejected by reviewer</x:v>
      </x:c>
      <x:c r="E133" s="34" t="b">
        <x:v>1</x:v>
      </x:c>
      <x:c r="F133" s="50" t="str">
        <x:v>Use exactly as written in API/database contracts</x:v>
      </x:c>
    </x:row>
    <x:row r="134" ht="24" customHeight="1">
      <x:c r="A134" s="33" t="str">
        <x:v>Permit_Approvals</x:v>
      </x:c>
      <x:c r="B134" s="33" t="str">
        <x:v>status</x:v>
      </x:c>
      <x:c r="C134" s="33" t="str">
        <x:v>PENDING</x:v>
      </x:c>
      <x:c r="D134" s="50" t="str">
        <x:v>Awaiting action</x:v>
      </x:c>
      <x:c r="E134" s="34" t="b">
        <x:v>0</x:v>
      </x:c>
      <x:c r="F134" s="50" t="str">
        <x:v>Use exactly as written in API/database contracts</x:v>
      </x:c>
    </x:row>
    <x:row r="135" ht="24" customHeight="1">
      <x:c r="A135" s="33" t="str">
        <x:v>Permit_Approvals</x:v>
      </x:c>
      <x:c r="B135" s="33" t="str">
        <x:v>status</x:v>
      </x:c>
      <x:c r="C135" s="33" t="str">
        <x:v>COMPLETED</x:v>
      </x:c>
      <x:c r="D135" s="50" t="str">
        <x:v>Work completed</x:v>
      </x:c>
      <x:c r="E135" s="34" t="b">
        <x:v>1</x:v>
      </x:c>
      <x:c r="F135" s="50" t="str">
        <x:v>Use exactly as written in API/database contracts</x:v>
      </x:c>
    </x:row>
    <x:row r="136" ht="24" customHeight="1">
      <x:c r="A136" s="33" t="str">
        <x:v>Permit_Approvals</x:v>
      </x:c>
      <x:c r="B136" s="33" t="str">
        <x:v>status</x:v>
      </x:c>
      <x:c r="C136" s="33" t="str">
        <x:v>SKIPPED</x:v>
      </x:c>
      <x:c r="D136" s="50" t="str">
        <x:v>Allowed value: SKIPPED</x:v>
      </x:c>
      <x:c r="E136" s="34" t="b">
        <x:v>0</x:v>
      </x:c>
      <x:c r="F136" s="50" t="str">
        <x:v>Use exactly as written in API/database contracts</x:v>
      </x:c>
    </x:row>
    <x:row r="137" ht="24" customHeight="1">
      <x:c r="A137" s="33" t="str">
        <x:v>SIMOPS</x:v>
      </x:c>
      <x:c r="B137" s="33" t="str">
        <x:v>status</x:v>
      </x:c>
      <x:c r="C137" s="33" t="str">
        <x:v>OPEN</x:v>
      </x:c>
      <x:c r="D137" s="50" t="str">
        <x:v>Open action/event</x:v>
      </x:c>
      <x:c r="E137" s="34" t="b">
        <x:v>0</x:v>
      </x:c>
      <x:c r="F137" s="50" t="str">
        <x:v>Use exactly as written in API/database contracts</x:v>
      </x:c>
    </x:row>
    <x:row r="138" ht="24" customHeight="1">
      <x:c r="A138" s="33" t="str">
        <x:v>SIMOPS</x:v>
      </x:c>
      <x:c r="B138" s="33" t="str">
        <x:v>status</x:v>
      </x:c>
      <x:c r="C138" s="33" t="str">
        <x:v>RESOLVED</x:v>
      </x:c>
      <x:c r="D138" s="50" t="str">
        <x:v>Issue resolved</x:v>
      </x:c>
      <x:c r="E138" s="34" t="b">
        <x:v>1</x:v>
      </x:c>
      <x:c r="F138" s="50" t="str">
        <x:v>Use exactly as written in API/database contracts</x:v>
      </x:c>
    </x:row>
    <x:row r="139" ht="24" customHeight="1">
      <x:c r="A139" s="33" t="str">
        <x:v>SIMOPS</x:v>
      </x:c>
      <x:c r="B139" s="33" t="str">
        <x:v>status</x:v>
      </x:c>
      <x:c r="C139" s="33" t="str">
        <x:v>CLOSED</x:v>
      </x:c>
      <x:c r="D139" s="50" t="str">
        <x:v>Final closed state</x:v>
      </x:c>
      <x:c r="E139" s="34" t="b">
        <x:v>1</x:v>
      </x:c>
      <x:c r="F139" s="50" t="str">
        <x:v>Use exactly as written in API/database contracts</x:v>
      </x:c>
    </x:row>
    <x:row r="140" ht="24" customHeight="1">
      <x:c r="A140" s="33" t="str">
        <x:v>Incident_RCA</x:v>
      </x:c>
      <x:c r="B140" s="33" t="str">
        <x:v>method</x:v>
      </x:c>
      <x:c r="C140" s="33" t="str">
        <x:v>FIVE_WHYS</x:v>
      </x:c>
      <x:c r="D140" s="50" t="str">
        <x:v>Allowed value: FIVE_WHYS</x:v>
      </x:c>
      <x:c r="E140" s="34" t="b">
        <x:v>0</x:v>
      </x:c>
      <x:c r="F140" s="50" t="str">
        <x:v>Use exactly as written in API/database contracts</x:v>
      </x:c>
    </x:row>
    <x:row r="141" ht="24" customHeight="1">
      <x:c r="A141" s="33" t="str">
        <x:v>Incident_RCA</x:v>
      </x:c>
      <x:c r="B141" s="33" t="str">
        <x:v>method</x:v>
      </x:c>
      <x:c r="C141" s="33" t="str">
        <x:v>FISHBONE</x:v>
      </x:c>
      <x:c r="D141" s="50" t="str">
        <x:v>Allowed value: FISHBONE</x:v>
      </x:c>
      <x:c r="E141" s="34" t="b">
        <x:v>0</x:v>
      </x:c>
      <x:c r="F141" s="50" t="str">
        <x:v>Use exactly as written in API/database contracts</x:v>
      </x:c>
    </x:row>
    <x:row r="142" ht="24" customHeight="1">
      <x:c r="A142" s="33" t="str">
        <x:v>Incident_RCA</x:v>
      </x:c>
      <x:c r="B142" s="33" t="str">
        <x:v>method</x:v>
      </x:c>
      <x:c r="C142" s="33" t="str">
        <x:v>TRIPOD</x:v>
      </x:c>
      <x:c r="D142" s="50" t="str">
        <x:v>Allowed value: TRIPOD</x:v>
      </x:c>
      <x:c r="E142" s="34" t="b">
        <x:v>0</x:v>
      </x:c>
      <x:c r="F142" s="50" t="str">
        <x:v>Use exactly as written in API/database contracts</x:v>
      </x:c>
    </x:row>
    <x:row r="143" ht="24" customHeight="1">
      <x:c r="A143" s="33" t="str">
        <x:v>Incident_RCA</x:v>
      </x:c>
      <x:c r="B143" s="33" t="str">
        <x:v>status</x:v>
      </x:c>
      <x:c r="C143" s="33" t="str">
        <x:v>DRAFT</x:v>
      </x:c>
      <x:c r="D143" s="50" t="str">
        <x:v>Not submitted</x:v>
      </x:c>
      <x:c r="E143" s="34" t="b">
        <x:v>0</x:v>
      </x:c>
      <x:c r="F143" s="50" t="str">
        <x:v>Use exactly as written in API/database contracts</x:v>
      </x:c>
    </x:row>
    <x:row r="144" ht="24" customHeight="1">
      <x:c r="A144" s="33" t="str">
        <x:v>Incident_RCA</x:v>
      </x:c>
      <x:c r="B144" s="33" t="str">
        <x:v>status</x:v>
      </x:c>
      <x:c r="C144" s="33" t="str">
        <x:v>IN_PROGRESS</x:v>
      </x:c>
      <x:c r="D144" s="50" t="str">
        <x:v>Work underway</x:v>
      </x:c>
      <x:c r="E144" s="34" t="b">
        <x:v>0</x:v>
      </x:c>
      <x:c r="F144" s="50" t="str">
        <x:v>Use exactly as written in API/database contracts</x:v>
      </x:c>
    </x:row>
    <x:row r="145" ht="24" customHeight="1">
      <x:c r="A145" s="33" t="str">
        <x:v>Incident_RCA</x:v>
      </x:c>
      <x:c r="B145" s="33" t="str">
        <x:v>status</x:v>
      </x:c>
      <x:c r="C145" s="33" t="str">
        <x:v>APPROVED</x:v>
      </x:c>
      <x:c r="D145" s="50" t="str">
        <x:v>Allowed value: APPROVED</x:v>
      </x:c>
      <x:c r="E145" s="34" t="b">
        <x:v>0</x:v>
      </x:c>
      <x:c r="F145" s="50" t="str">
        <x:v>Use exactly as written in API/database contracts</x:v>
      </x:c>
    </x:row>
    <x:row r="146" ht="24" customHeight="1">
      <x:c r="A146" s="33" t="str">
        <x:v>Incident_RCA</x:v>
      </x:c>
      <x:c r="B146" s="33" t="str">
        <x:v>status</x:v>
      </x:c>
      <x:c r="C146" s="33" t="str">
        <x:v>REJECTED</x:v>
      </x:c>
      <x:c r="D146" s="50" t="str">
        <x:v>Rejected by reviewer</x:v>
      </x:c>
      <x:c r="E146" s="34" t="b">
        <x:v>1</x:v>
      </x:c>
      <x:c r="F146" s="50" t="str">
        <x:v>Use exactly as written in API/database contracts</x:v>
      </x:c>
    </x:row>
    <x:row r="147" ht="24" customHeight="1">
      <x:c r="A147" s="33" t="str">
        <x:v>Inspection_Responses</x:v>
      </x:c>
      <x:c r="B147" s="33" t="str">
        <x:v>response</x:v>
      </x:c>
      <x:c r="C147" s="33" t="str">
        <x:v>YES</x:v>
      </x:c>
      <x:c r="D147" s="50" t="str">
        <x:v>Allowed value: YES</x:v>
      </x:c>
      <x:c r="E147" s="34" t="b">
        <x:v>0</x:v>
      </x:c>
      <x:c r="F147" s="50" t="str">
        <x:v>Use exactly as written in API/database contracts</x:v>
      </x:c>
    </x:row>
    <x:row r="148" ht="24" customHeight="1">
      <x:c r="A148" s="33" t="str">
        <x:v>Inspection_Responses</x:v>
      </x:c>
      <x:c r="B148" s="33" t="str">
        <x:v>response</x:v>
      </x:c>
      <x:c r="C148" s="33" t="str">
        <x:v>NO</x:v>
      </x:c>
      <x:c r="D148" s="50" t="str">
        <x:v>Allowed value: NO</x:v>
      </x:c>
      <x:c r="E148" s="34" t="b">
        <x:v>0</x:v>
      </x:c>
      <x:c r="F148" s="50" t="str">
        <x:v>Use exactly as written in API/database contracts</x:v>
      </x:c>
    </x:row>
    <x:row r="149" ht="24" customHeight="1">
      <x:c r="A149" s="33" t="str">
        <x:v>Inspection_Responses</x:v>
      </x:c>
      <x:c r="B149" s="33" t="str">
        <x:v>response</x:v>
      </x:c>
      <x:c r="C149" s="33" t="str">
        <x:v>NA</x:v>
      </x:c>
      <x:c r="D149" s="50" t="str">
        <x:v>Allowed value: NA</x:v>
      </x:c>
      <x:c r="E149" s="34" t="b">
        <x:v>0</x:v>
      </x:c>
      <x:c r="F149" s="50" t="str">
        <x:v>Use exactly as written in API/database contracts</x:v>
      </x:c>
    </x:row>
    <x:row r="150" ht="24" customHeight="1">
      <x:c r="A150" s="33" t="str">
        <x:v>Inspection_Responses</x:v>
      </x:c>
      <x:c r="B150" s="33" t="str">
        <x:v>response</x:v>
      </x:c>
      <x:c r="C150" s="33" t="str">
        <x:v>NOT_CHECKED</x:v>
      </x:c>
      <x:c r="D150" s="50" t="str">
        <x:v>Allowed value: NOT_CHECKED</x:v>
      </x:c>
      <x:c r="E150" s="34" t="b">
        <x:v>0</x:v>
      </x:c>
      <x:c r="F150" s="50" t="str">
        <x:v>Use exactly as written in API/database contracts</x:v>
      </x:c>
    </x:row>
    <x:row r="151" ht="24" customHeight="1">
      <x:c r="A151" s="33" t="str">
        <x:v>Permit_Checklist</x:v>
      </x:c>
      <x:c r="B151" s="33" t="str">
        <x:v>response</x:v>
      </x:c>
      <x:c r="C151" s="33" t="str">
        <x:v>YES</x:v>
      </x:c>
      <x:c r="D151" s="50" t="str">
        <x:v>Allowed value: YES</x:v>
      </x:c>
      <x:c r="E151" s="34" t="b">
        <x:v>0</x:v>
      </x:c>
      <x:c r="F151" s="50" t="str">
        <x:v>Use exactly as written in API/database contracts</x:v>
      </x:c>
    </x:row>
    <x:row r="152" ht="24" customHeight="1">
      <x:c r="A152" s="33" t="str">
        <x:v>Permit_Checklist</x:v>
      </x:c>
      <x:c r="B152" s="33" t="str">
        <x:v>response</x:v>
      </x:c>
      <x:c r="C152" s="33" t="str">
        <x:v>NO</x:v>
      </x:c>
      <x:c r="D152" s="50" t="str">
        <x:v>Allowed value: NO</x:v>
      </x:c>
      <x:c r="E152" s="34" t="b">
        <x:v>0</x:v>
      </x:c>
      <x:c r="F152" s="50" t="str">
        <x:v>Use exactly as written in API/database contracts</x:v>
      </x:c>
    </x:row>
    <x:row r="153" ht="24" customHeight="1">
      <x:c r="A153" s="33" t="str">
        <x:v>Permit_Checklist</x:v>
      </x:c>
      <x:c r="B153" s="33" t="str">
        <x:v>response</x:v>
      </x:c>
      <x:c r="C153" s="33" t="str">
        <x:v>NA</x:v>
      </x:c>
      <x:c r="D153" s="50" t="str">
        <x:v>Allowed value: NA</x:v>
      </x:c>
      <x:c r="E153" s="34" t="b">
        <x:v>0</x:v>
      </x:c>
      <x:c r="F153" s="50" t="str">
        <x:v>Use exactly as written in API/database contracts</x:v>
      </x:c>
    </x:row>
    <x:row r="154" ht="24" customHeight="1">
      <x:c r="A154" s="33" t="str">
        <x:v>Permit_Checklist</x:v>
      </x:c>
      <x:c r="B154" s="33" t="str">
        <x:v>response</x:v>
      </x:c>
      <x:c r="C154" s="33" t="str">
        <x:v>NOT_CHECKED</x:v>
      </x:c>
      <x:c r="D154" s="50" t="str">
        <x:v>Allowed value: NOT_CHECKED</x:v>
      </x:c>
      <x:c r="E154" s="34" t="b">
        <x:v>0</x:v>
      </x:c>
      <x:c r="F154" s="50" t="str">
        <x:v>Use exactly as written in API/database contracts</x:v>
      </x:c>
    </x:row>
    <x:row r="155" ht="24" customHeight="1">
      <x:c r="A155" s="33" t="str">
        <x:v>Permit_Gas_Tests</x:v>
      </x:c>
      <x:c r="B155" s="33" t="str">
        <x:v>result</x:v>
      </x:c>
      <x:c r="C155" s="33" t="str">
        <x:v>PASS</x:v>
      </x:c>
      <x:c r="D155" s="50" t="str">
        <x:v>Allowed value: PASS</x:v>
      </x:c>
      <x:c r="E155" s="34" t="b">
        <x:v>0</x:v>
      </x:c>
      <x:c r="F155" s="50" t="str">
        <x:v>Use exactly as written in API/database contracts</x:v>
      </x:c>
    </x:row>
    <x:row r="156" ht="24" customHeight="1">
      <x:c r="A156" s="33" t="str">
        <x:v>Permit_Gas_Tests</x:v>
      </x:c>
      <x:c r="B156" s="33" t="str">
        <x:v>result</x:v>
      </x:c>
      <x:c r="C156" s="33" t="str">
        <x:v>WARNING</x:v>
      </x:c>
      <x:c r="D156" s="50" t="str">
        <x:v>Caution threshold</x:v>
      </x:c>
      <x:c r="E156" s="34" t="b">
        <x:v>0</x:v>
      </x:c>
      <x:c r="F156" s="50" t="str">
        <x:v>Use exactly as written in API/database contracts</x:v>
      </x:c>
    </x:row>
    <x:row r="157" ht="24" customHeight="1">
      <x:c r="A157" s="33" t="str">
        <x:v>Permit_Gas_Tests</x:v>
      </x:c>
      <x:c r="B157" s="33" t="str">
        <x:v>result</x:v>
      </x:c>
      <x:c r="C157" s="33" t="str">
        <x:v>FAIL</x:v>
      </x:c>
      <x:c r="D157" s="50" t="str">
        <x:v>Allowed value: FAIL</x:v>
      </x:c>
      <x:c r="E157" s="34" t="b">
        <x:v>0</x:v>
      </x:c>
      <x:c r="F157" s="50" t="str">
        <x:v>Use exactly as written in API/database contracts</x:v>
      </x:c>
    </x:row>
    <x:row r="158" ht="24" customHeight="1">
      <x:c r="A158" s="33" t="str">
        <x:v>Report_Runs</x:v>
      </x:c>
      <x:c r="B158" s="33" t="str">
        <x:v>status</x:v>
      </x:c>
      <x:c r="C158" s="33" t="str">
        <x:v>QUEUED</x:v>
      </x:c>
      <x:c r="D158" s="50" t="str">
        <x:v>Allowed value: QUEUED</x:v>
      </x:c>
      <x:c r="E158" s="34" t="b">
        <x:v>0</x:v>
      </x:c>
      <x:c r="F158" s="50" t="str">
        <x:v>Use exactly as written in API/database contracts</x:v>
      </x:c>
    </x:row>
    <x:row r="159" ht="24" customHeight="1">
      <x:c r="A159" s="33" t="str">
        <x:v>Report_Runs</x:v>
      </x:c>
      <x:c r="B159" s="33" t="str">
        <x:v>status</x:v>
      </x:c>
      <x:c r="C159" s="33" t="str">
        <x:v>RUNNING</x:v>
      </x:c>
      <x:c r="D159" s="50" t="str">
        <x:v>Allowed value: RUNNING</x:v>
      </x:c>
      <x:c r="E159" s="34" t="b">
        <x:v>0</x:v>
      </x:c>
      <x:c r="F159" s="50" t="str">
        <x:v>Use exactly as written in API/database contracts</x:v>
      </x:c>
    </x:row>
    <x:row r="160" ht="24" customHeight="1">
      <x:c r="A160" s="33" t="str">
        <x:v>Report_Runs</x:v>
      </x:c>
      <x:c r="B160" s="33" t="str">
        <x:v>status</x:v>
      </x:c>
      <x:c r="C160" s="33" t="str">
        <x:v>COMPLETED</x:v>
      </x:c>
      <x:c r="D160" s="50" t="str">
        <x:v>Work completed</x:v>
      </x:c>
      <x:c r="E160" s="34" t="b">
        <x:v>1</x:v>
      </x:c>
      <x:c r="F160" s="50" t="str">
        <x:v>Use exactly as written in API/database contracts</x:v>
      </x:c>
    </x:row>
    <x:row r="161" ht="24" customHeight="1">
      <x:c r="A161" s="33" t="str">
        <x:v>Report_Runs</x:v>
      </x:c>
      <x:c r="B161" s="33" t="str">
        <x:v>status</x:v>
      </x:c>
      <x:c r="C161" s="33" t="str">
        <x:v>FAILED</x:v>
      </x:c>
      <x:c r="D161" s="50" t="str">
        <x:v>Failed operation</x:v>
      </x:c>
      <x:c r="E161" s="34" t="b">
        <x:v>0</x:v>
      </x:c>
      <x:c r="F161" s="50" t="str">
        <x:v>Use exactly as written in API/database contracts</x:v>
      </x:c>
    </x:row>
    <x:row r="162" ht="24" customHeight="1">
      <x:c r="A162" s="33" t="str">
        <x:v>Report_Runs</x:v>
      </x:c>
      <x:c r="B162" s="33" t="str">
        <x:v>status</x:v>
      </x:c>
      <x:c r="C162" s="33" t="str">
        <x:v>CANCELLED</x:v>
      </x:c>
      <x:c r="D162" s="50" t="str">
        <x:v>Cancelled and ignored by automation</x:v>
      </x:c>
      <x:c r="E162" s="34" t="b">
        <x:v>1</x:v>
      </x:c>
      <x:c r="F162" s="50" t="str">
        <x:v>Use exactly as written in API/database contracts</x:v>
      </x:c>
    </x:row>
    <x:row r="163" ht="24" customHeight="1">
      <x:c r="A163" s="33" t="str">
        <x:v>Certificates</x:v>
      </x:c>
      <x:c r="B163" s="33" t="str">
        <x:v>status</x:v>
      </x:c>
      <x:c r="C163" s="33" t="str">
        <x:v>VALID</x:v>
      </x:c>
      <x:c r="D163" s="50" t="str">
        <x:v>Within validity</x:v>
      </x:c>
      <x:c r="E163" s="34" t="b">
        <x:v>0</x:v>
      </x:c>
      <x:c r="F163" s="50" t="str">
        <x:v>Use exactly as written in API/database contracts</x:v>
      </x:c>
    </x:row>
    <x:row r="164" ht="24" customHeight="1">
      <x:c r="A164" s="33" t="str">
        <x:v>Certificates</x:v>
      </x:c>
      <x:c r="B164" s="33" t="str">
        <x:v>status</x:v>
      </x:c>
      <x:c r="C164" s="33" t="str">
        <x:v>EXPIRED</x:v>
      </x:c>
      <x:c r="D164" s="50" t="str">
        <x:v>Past validity</x:v>
      </x:c>
      <x:c r="E164" s="34" t="b">
        <x:v>1</x:v>
      </x:c>
      <x:c r="F164" s="50" t="str">
        <x:v>Use exactly as written in API/database contracts</x:v>
      </x:c>
    </x:row>
    <x:row r="165" ht="24" customHeight="1">
      <x:c r="A165" s="33" t="str">
        <x:v>Certificates</x:v>
      </x:c>
      <x:c r="B165" s="33" t="str">
        <x:v>status</x:v>
      </x:c>
      <x:c r="C165" s="33" t="str">
        <x:v>RENEWAL_BOOKED</x:v>
      </x:c>
      <x:c r="D165" s="50" t="str">
        <x:v>Allowed value: RENEWAL_BOOKED</x:v>
      </x:c>
      <x:c r="E165" s="34" t="b">
        <x:v>0</x:v>
      </x:c>
      <x:c r="F165" s="50" t="str">
        <x:v>Use exactly as written in API/database contracts</x:v>
      </x:c>
    </x:row>
    <x:row r="166" ht="24" customHeight="1">
      <x:c r="A166" s="33" t="str">
        <x:v>Certificates</x:v>
      </x:c>
      <x:c r="B166" s="33" t="str">
        <x:v>status</x:v>
      </x:c>
      <x:c r="C166" s="33" t="str">
        <x:v>SUSPENDED</x:v>
      </x:c>
      <x:c r="D166" s="50" t="str">
        <x:v>Temporarily blocked</x:v>
      </x:c>
      <x:c r="E166" s="34" t="b">
        <x:v>0</x:v>
      </x:c>
      <x:c r="F166" s="50" t="str">
        <x:v>Use exactly as written in API/database contracts</x:v>
      </x:c>
    </x:row>
    <x:row r="167" ht="24" customHeight="1">
      <x:c r="A167" s="33" t="str">
        <x:v>Certificates</x:v>
      </x:c>
      <x:c r="B167" s="33" t="str">
        <x:v>status</x:v>
      </x:c>
      <x:c r="C167" s="33" t="str">
        <x:v>REVOKED</x:v>
      </x:c>
      <x:c r="D167" s="50" t="str">
        <x:v>Allowed value: REVOKED</x:v>
      </x:c>
      <x:c r="E167" s="34" t="b">
        <x:v>1</x:v>
      </x:c>
      <x:c r="F167" s="50" t="str">
        <x:v>Use exactly as written in API/database contracts</x:v>
      </x:c>
    </x:row>
    <x:row r="168" ht="24" customHeight="1">
      <x:c r="A168" s="33" t="str">
        <x:v>Fire_Equipment</x:v>
      </x:c>
      <x:c r="B168" s="33" t="str">
        <x:v>status</x:v>
      </x:c>
      <x:c r="C168" s="33" t="str">
        <x:v>VALID</x:v>
      </x:c>
      <x:c r="D168" s="50" t="str">
        <x:v>Within validity</x:v>
      </x:c>
      <x:c r="E168" s="34" t="b">
        <x:v>0</x:v>
      </x:c>
      <x:c r="F168" s="50" t="str">
        <x:v>Use exactly as written in API/database contracts</x:v>
      </x:c>
    </x:row>
    <x:row r="169" ht="24" customHeight="1">
      <x:c r="A169" s="33" t="str">
        <x:v>Fire_Equipment</x:v>
      </x:c>
      <x:c r="B169" s="33" t="str">
        <x:v>status</x:v>
      </x:c>
      <x:c r="C169" s="33" t="str">
        <x:v>DUE_SOON</x:v>
      </x:c>
      <x:c r="D169" s="50" t="str">
        <x:v>Approaching due date</x:v>
      </x:c>
      <x:c r="E169" s="34" t="b">
        <x:v>0</x:v>
      </x:c>
      <x:c r="F169" s="50" t="str">
        <x:v>Use exactly as written in API/database contracts</x:v>
      </x:c>
    </x:row>
    <x:row r="170" ht="24" customHeight="1">
      <x:c r="A170" s="33" t="str">
        <x:v>Fire_Equipment</x:v>
      </x:c>
      <x:c r="B170" s="33" t="str">
        <x:v>status</x:v>
      </x:c>
      <x:c r="C170" s="33" t="str">
        <x:v>ACTION_REQUIRED</x:v>
      </x:c>
      <x:c r="D170" s="50" t="str">
        <x:v>Allowed value: ACTION_REQUIRED</x:v>
      </x:c>
      <x:c r="E170" s="34" t="b">
        <x:v>0</x:v>
      </x:c>
      <x:c r="F170" s="50" t="str">
        <x:v>Use exactly as written in API/database contracts</x:v>
      </x:c>
    </x:row>
    <x:row r="171" ht="24" customHeight="1">
      <x:c r="A171" s="33" t="str">
        <x:v>Fire_Equipment</x:v>
      </x:c>
      <x:c r="B171" s="33" t="str">
        <x:v>status</x:v>
      </x:c>
      <x:c r="C171" s="33" t="str">
        <x:v>EXPIRED</x:v>
      </x:c>
      <x:c r="D171" s="50" t="str">
        <x:v>Past validity</x:v>
      </x:c>
      <x:c r="E171" s="34" t="b">
        <x:v>1</x:v>
      </x:c>
      <x:c r="F171" s="50" t="str">
        <x:v>Use exactly as written in API/database contracts</x:v>
      </x:c>
    </x:row>
    <x:row r="172" ht="24" customHeight="1">
      <x:c r="A172" s="33" t="str">
        <x:v>Fire_Equipment</x:v>
      </x:c>
      <x:c r="B172" s="33" t="str">
        <x:v>status</x:v>
      </x:c>
      <x:c r="C172" s="33" t="str">
        <x:v>OUT_OF_SERVICE</x:v>
      </x:c>
      <x:c r="D172" s="50" t="str">
        <x:v>Allowed value: OUT_OF_SERVICE</x:v>
      </x:c>
      <x:c r="E172" s="34" t="b">
        <x:v>0</x:v>
      </x:c>
      <x:c r="F172" s="50" t="str">
        <x:v>Use exactly as written in API/database contracts</x:v>
      </x:c>
    </x:row>
    <x:row r="173" ht="24" customHeight="1">
      <x:c r="A173" s="33" t="str">
        <x:v>Fire_Inspections</x:v>
      </x:c>
      <x:c r="B173" s="33" t="str">
        <x:v>result</x:v>
      </x:c>
      <x:c r="C173" s="33" t="str">
        <x:v>PASS</x:v>
      </x:c>
      <x:c r="D173" s="50" t="str">
        <x:v>Allowed value: PASS</x:v>
      </x:c>
      <x:c r="E173" s="34" t="b">
        <x:v>0</x:v>
      </x:c>
      <x:c r="F173" s="50" t="str">
        <x:v>Use exactly as written in API/database contracts</x:v>
      </x:c>
    </x:row>
    <x:row r="174" ht="24" customHeight="1">
      <x:c r="A174" s="33" t="str">
        <x:v>Fire_Inspections</x:v>
      </x:c>
      <x:c r="B174" s="33" t="str">
        <x:v>result</x:v>
      </x:c>
      <x:c r="C174" s="33" t="str">
        <x:v>PASS_WITH_ACTION</x:v>
      </x:c>
      <x:c r="D174" s="50" t="str">
        <x:v>Allowed value: PASS_WITH_ACTION</x:v>
      </x:c>
      <x:c r="E174" s="34" t="b">
        <x:v>0</x:v>
      </x:c>
      <x:c r="F174" s="50" t="str">
        <x:v>Use exactly as written in API/database contracts</x:v>
      </x:c>
    </x:row>
    <x:row r="175" ht="24" customHeight="1">
      <x:c r="A175" s="33" t="str">
        <x:v>Fire_Inspections</x:v>
      </x:c>
      <x:c r="B175" s="33" t="str">
        <x:v>result</x:v>
      </x:c>
      <x:c r="C175" s="33" t="str">
        <x:v>FAIL</x:v>
      </x:c>
      <x:c r="D175" s="50" t="str">
        <x:v>Allowed value: FAIL</x:v>
      </x:c>
      <x:c r="E175" s="34" t="b">
        <x:v>0</x:v>
      </x:c>
      <x:c r="F175" s="50" t="str">
        <x:v>Use exactly as written in API/database contracts</x:v>
      </x:c>
    </x:row>
    <x:row r="176" ht="24" customHeight="1">
      <x:c r="A176" s="33" t="str">
        <x:v>Chemicals</x:v>
      </x:c>
      <x:c r="B176" s="33" t="str">
        <x:v>status</x:v>
      </x:c>
      <x:c r="C176" s="33" t="str">
        <x:v>ACTIVE</x:v>
      </x:c>
      <x:c r="D176" s="50" t="str">
        <x:v>Currently active/in force</x:v>
      </x:c>
      <x:c r="E176" s="34" t="b">
        <x:v>0</x:v>
      </x:c>
      <x:c r="F176" s="50" t="str">
        <x:v>Use exactly as written in API/database contracts</x:v>
      </x:c>
    </x:row>
    <x:row r="177" ht="24" customHeight="1">
      <x:c r="A177" s="33" t="str">
        <x:v>Chemicals</x:v>
      </x:c>
      <x:c r="B177" s="33" t="str">
        <x:v>status</x:v>
      </x:c>
      <x:c r="C177" s="33" t="str">
        <x:v>PHASED_OUT</x:v>
      </x:c>
      <x:c r="D177" s="50" t="str">
        <x:v>Allowed value: PHASED_OUT</x:v>
      </x:c>
      <x:c r="E177" s="34" t="b">
        <x:v>0</x:v>
      </x:c>
      <x:c r="F177" s="50" t="str">
        <x:v>Use exactly as written in API/database contracts</x:v>
      </x:c>
    </x:row>
    <x:row r="178" ht="24" customHeight="1">
      <x:c r="A178" s="33" t="str">
        <x:v>Chemicals</x:v>
      </x:c>
      <x:c r="B178" s="33" t="str">
        <x:v>status</x:v>
      </x:c>
      <x:c r="C178" s="33" t="str">
        <x:v>QUARANTINED</x:v>
      </x:c>
      <x:c r="D178" s="50" t="str">
        <x:v>Allowed value: QUARANTINED</x:v>
      </x:c>
      <x:c r="E178" s="34" t="b">
        <x:v>0</x:v>
      </x:c>
      <x:c r="F178" s="50" t="str">
        <x:v>Use exactly as written in API/database contracts</x:v>
      </x:c>
    </x:row>
    <x:row r="179" ht="24" customHeight="1">
      <x:c r="A179" s="33" t="str">
        <x:v>SDS_Records</x:v>
      </x:c>
      <x:c r="B179" s="33" t="str">
        <x:v>status</x:v>
      </x:c>
      <x:c r="C179" s="33" t="str">
        <x:v>CURRENT</x:v>
      </x:c>
      <x:c r="D179" s="50" t="str">
        <x:v>Allowed value: CURRENT</x:v>
      </x:c>
      <x:c r="E179" s="34" t="b">
        <x:v>0</x:v>
      </x:c>
      <x:c r="F179" s="50" t="str">
        <x:v>Use exactly as written in API/database contracts</x:v>
      </x:c>
    </x:row>
    <x:row r="180" ht="24" customHeight="1">
      <x:c r="A180" s="33" t="str">
        <x:v>SDS_Records</x:v>
      </x:c>
      <x:c r="B180" s="33" t="str">
        <x:v>status</x:v>
      </x:c>
      <x:c r="C180" s="33" t="str">
        <x:v>DUE_SOON</x:v>
      </x:c>
      <x:c r="D180" s="50" t="str">
        <x:v>Approaching due date</x:v>
      </x:c>
      <x:c r="E180" s="34" t="b">
        <x:v>0</x:v>
      </x:c>
      <x:c r="F180" s="50" t="str">
        <x:v>Use exactly as written in API/database contracts</x:v>
      </x:c>
    </x:row>
    <x:row r="181" ht="24" customHeight="1">
      <x:c r="A181" s="33" t="str">
        <x:v>SDS_Records</x:v>
      </x:c>
      <x:c r="B181" s="33" t="str">
        <x:v>status</x:v>
      </x:c>
      <x:c r="C181" s="33" t="str">
        <x:v>EXPIRED</x:v>
      </x:c>
      <x:c r="D181" s="50" t="str">
        <x:v>Past validity</x:v>
      </x:c>
      <x:c r="E181" s="34" t="b">
        <x:v>1</x:v>
      </x:c>
      <x:c r="F181" s="50" t="str">
        <x:v>Use exactly as written in API/database contracts</x:v>
      </x:c>
    </x:row>
    <x:row r="182" ht="24" customHeight="1">
      <x:c r="A182" s="33" t="str">
        <x:v>SDS_Records</x:v>
      </x:c>
      <x:c r="B182" s="33" t="str">
        <x:v>status</x:v>
      </x:c>
      <x:c r="C182" s="33" t="str">
        <x:v>MISSING_CURRENT_VERSION</x:v>
      </x:c>
      <x:c r="D182" s="50" t="str">
        <x:v>Allowed value: MISSING_CURRENT_VERSION</x:v>
      </x:c>
      <x:c r="E182" s="34" t="b">
        <x:v>0</x:v>
      </x:c>
      <x:c r="F182" s="50" t="str">
        <x:v>Use exactly as written in API/database contracts</x:v>
      </x:c>
    </x:row>
    <x:row r="183" ht="24" customHeight="1">
      <x:c r="A183" s="33" t="str">
        <x:v>Health_Exams</x:v>
      </x:c>
      <x:c r="B183" s="33" t="str">
        <x:v>fitness_result</x:v>
      </x:c>
      <x:c r="C183" s="33" t="str">
        <x:v>FIT</x:v>
      </x:c>
      <x:c r="D183" s="50" t="str">
        <x:v>Allowed value: FIT</x:v>
      </x:c>
      <x:c r="E183" s="34" t="b">
        <x:v>0</x:v>
      </x:c>
      <x:c r="F183" s="50" t="str">
        <x:v>Use exactly as written in API/database contracts</x:v>
      </x:c>
    </x:row>
    <x:row r="184" ht="24" customHeight="1">
      <x:c r="A184" s="33" t="str">
        <x:v>Health_Exams</x:v>
      </x:c>
      <x:c r="B184" s="33" t="str">
        <x:v>fitness_result</x:v>
      </x:c>
      <x:c r="C184" s="33" t="str">
        <x:v>FIT_WITH_RESTRICTIONS</x:v>
      </x:c>
      <x:c r="D184" s="50" t="str">
        <x:v>Allowed value: FIT_WITH_RESTRICTIONS</x:v>
      </x:c>
      <x:c r="E184" s="34" t="b">
        <x:v>0</x:v>
      </x:c>
      <x:c r="F184" s="50" t="str">
        <x:v>Use exactly as written in API/database contracts</x:v>
      </x:c>
    </x:row>
    <x:row r="185" ht="24" customHeight="1">
      <x:c r="A185" s="33" t="str">
        <x:v>Health_Exams</x:v>
      </x:c>
      <x:c r="B185" s="33" t="str">
        <x:v>fitness_result</x:v>
      </x:c>
      <x:c r="C185" s="33" t="str">
        <x:v>UNFIT</x:v>
      </x:c>
      <x:c r="D185" s="50" t="str">
        <x:v>Allowed value: UNFIT</x:v>
      </x:c>
      <x:c r="E185" s="34" t="b">
        <x:v>0</x:v>
      </x:c>
      <x:c r="F185" s="50" t="str">
        <x:v>Use exactly as written in API/database contracts</x:v>
      </x:c>
    </x:row>
    <x:row r="186" ht="24" customHeight="1">
      <x:c r="A186" s="33" t="str">
        <x:v>Health_Exams</x:v>
      </x:c>
      <x:c r="B186" s="33" t="str">
        <x:v>status</x:v>
      </x:c>
      <x:c r="C186" s="33" t="str">
        <x:v>SCHEDULED</x:v>
      </x:c>
      <x:c r="D186" s="50" t="str">
        <x:v>Planned for future</x:v>
      </x:c>
      <x:c r="E186" s="34" t="b">
        <x:v>0</x:v>
      </x:c>
      <x:c r="F186" s="50" t="str">
        <x:v>Use exactly as written in API/database contracts</x:v>
      </x:c>
    </x:row>
    <x:row r="187" ht="24" customHeight="1">
      <x:c r="A187" s="33" t="str">
        <x:v>Health_Exams</x:v>
      </x:c>
      <x:c r="B187" s="33" t="str">
        <x:v>status</x:v>
      </x:c>
      <x:c r="C187" s="33" t="str">
        <x:v>OVERDUE</x:v>
      </x:c>
      <x:c r="D187" s="50" t="str">
        <x:v>Past due and unfinished</x:v>
      </x:c>
      <x:c r="E187" s="34" t="b">
        <x:v>0</x:v>
      </x:c>
      <x:c r="F187" s="50" t="str">
        <x:v>Use exactly as written in API/database contracts</x:v>
      </x:c>
    </x:row>
    <x:row r="188" ht="24" customHeight="1">
      <x:c r="A188" s="33" t="str">
        <x:v>Health_Exams</x:v>
      </x:c>
      <x:c r="B188" s="33" t="str">
        <x:v>status</x:v>
      </x:c>
      <x:c r="C188" s="33" t="str">
        <x:v>COMPLETED</x:v>
      </x:c>
      <x:c r="D188" s="50" t="str">
        <x:v>Work completed</x:v>
      </x:c>
      <x:c r="E188" s="34" t="b">
        <x:v>1</x:v>
      </x:c>
      <x:c r="F188" s="50" t="str">
        <x:v>Use exactly as written in API/database contracts</x:v>
      </x:c>
    </x:row>
    <x:row r="189" ht="24" customHeight="1">
      <x:c r="A189" s="33" t="str">
        <x:v>Health_Exams</x:v>
      </x:c>
      <x:c r="B189" s="33" t="str">
        <x:v>status</x:v>
      </x:c>
      <x:c r="C189" s="33" t="str">
        <x:v>CANCELLED</x:v>
      </x:c>
      <x:c r="D189" s="50" t="str">
        <x:v>Cancelled and ignored by automation</x:v>
      </x:c>
      <x:c r="E189" s="34" t="b">
        <x:v>1</x:v>
      </x:c>
      <x:c r="F189" s="50" t="str">
        <x:v>Use exactly as written in API/database contracts</x:v>
      </x:c>
    </x:row>
    <x:row r="190" ht="24" customHeight="1">
      <x:c r="A190" s="33" t="str">
        <x:v>Health_Exams</x:v>
      </x:c>
      <x:c r="B190" s="33" t="str">
        <x:v>confidentiality_level</x:v>
      </x:c>
      <x:c r="C190" s="33" t="str">
        <x:v>RESTRICTED</x:v>
      </x:c>
      <x:c r="D190" s="50" t="str">
        <x:v>Allowed value: RESTRICTED</x:v>
      </x:c>
      <x:c r="E190" s="34" t="b">
        <x:v>0</x:v>
      </x:c>
      <x:c r="F190" s="50" t="str">
        <x:v>Use exactly as written in API/database contracts</x:v>
      </x:c>
    </x:row>
    <x:row r="191" ht="24" customHeight="1">
      <x:c r="A191" s="33" t="str">
        <x:v>Health_Exams</x:v>
      </x:c>
      <x:c r="B191" s="33" t="str">
        <x:v>confidentiality_level</x:v>
      </x:c>
      <x:c r="C191" s="33" t="str">
        <x:v>CONFIDENTIAL</x:v>
      </x:c>
      <x:c r="D191" s="50" t="str">
        <x:v>Allowed value: CONFIDENTIAL</x:v>
      </x:c>
      <x:c r="E191" s="34" t="b">
        <x:v>0</x:v>
      </x:c>
      <x:c r="F191" s="50" t="str">
        <x:v>Use exactly as written in API/database contracts</x:v>
      </x:c>
    </x:row>
    <x:row r="192" ht="24" customHeight="1">
      <x:c r="A192" s="33" t="str">
        <x:v>Clinic_Visits</x:v>
      </x:c>
      <x:c r="B192" s="33" t="str">
        <x:v>status</x:v>
      </x:c>
      <x:c r="C192" s="33" t="str">
        <x:v>OPEN</x:v>
      </x:c>
      <x:c r="D192" s="50" t="str">
        <x:v>Open action/event</x:v>
      </x:c>
      <x:c r="E192" s="34" t="b">
        <x:v>0</x:v>
      </x:c>
      <x:c r="F192" s="50" t="str">
        <x:v>Use exactly as written in API/database contracts</x:v>
      </x:c>
    </x:row>
    <x:row r="193" ht="24" customHeight="1">
      <x:c r="A193" s="33" t="str">
        <x:v>Clinic_Visits</x:v>
      </x:c>
      <x:c r="B193" s="33" t="str">
        <x:v>status</x:v>
      </x:c>
      <x:c r="C193" s="33" t="str">
        <x:v>CLOSED</x:v>
      </x:c>
      <x:c r="D193" s="50" t="str">
        <x:v>Final closed state</x:v>
      </x:c>
      <x:c r="E193" s="34" t="b">
        <x:v>1</x:v>
      </x:c>
      <x:c r="F193" s="50" t="str">
        <x:v>Use exactly as written in API/database contracts</x:v>
      </x:c>
    </x:row>
    <x:row r="194" ht="24" customHeight="1">
      <x:c r="A194" s="33" t="str">
        <x:v>Clinic_Visits</x:v>
      </x:c>
      <x:c r="B194" s="33" t="str">
        <x:v>status</x:v>
      </x:c>
      <x:c r="C194" s="33" t="str">
        <x:v>REFERRED</x:v>
      </x:c>
      <x:c r="D194" s="50" t="str">
        <x:v>Allowed value: REFERRED</x:v>
      </x:c>
      <x:c r="E194" s="34" t="b">
        <x:v>0</x:v>
      </x:c>
      <x:c r="F194" s="50" t="str">
        <x:v>Use exactly as written in API/database contracts</x:v>
      </x:c>
    </x:row>
    <x:row r="195" ht="24" customHeight="1">
      <x:c r="A195" s="33" t="str">
        <x:v>Clinic_Visits</x:v>
      </x:c>
      <x:c r="B195" s="33" t="str">
        <x:v>confidentiality_level</x:v>
      </x:c>
      <x:c r="C195" s="33" t="str">
        <x:v>CONFIDENTIAL</x:v>
      </x:c>
      <x:c r="D195" s="50" t="str">
        <x:v>Allowed value: CONFIDENTIAL</x:v>
      </x:c>
      <x:c r="E195" s="34" t="b">
        <x:v>0</x:v>
      </x:c>
      <x:c r="F195" s="50" t="str">
        <x:v>Use exactly as written in API/database contracts</x:v>
      </x:c>
    </x:row>
    <x:row r="196" ht="24" customHeight="1">
      <x:c r="A196" s="33" t="str">
        <x:v>Training_Requirements</x:v>
      </x:c>
      <x:c r="B196" s="33" t="str">
        <x:v>scope_type</x:v>
      </x:c>
      <x:c r="C196" s="33" t="str">
        <x:v>SITE</x:v>
      </x:c>
      <x:c r="D196" s="50" t="str">
        <x:v>Allowed value: SITE</x:v>
      </x:c>
      <x:c r="E196" s="34" t="b">
        <x:v>0</x:v>
      </x:c>
      <x:c r="F196" s="50" t="str">
        <x:v>Use exactly as written in API/database contracts</x:v>
      </x:c>
    </x:row>
    <x:row r="197" ht="24" customHeight="1">
      <x:c r="A197" s="33" t="str">
        <x:v>Training_Requirements</x:v>
      </x:c>
      <x:c r="B197" s="33" t="str">
        <x:v>scope_type</x:v>
      </x:c>
      <x:c r="C197" s="33" t="str">
        <x:v>DEPARTMENT</x:v>
      </x:c>
      <x:c r="D197" s="50" t="str">
        <x:v>Allowed value: DEPARTMENT</x:v>
      </x:c>
      <x:c r="E197" s="34" t="b">
        <x:v>0</x:v>
      </x:c>
      <x:c r="F197" s="50" t="str">
        <x:v>Use exactly as written in API/database contracts</x:v>
      </x:c>
    </x:row>
    <x:row r="198" ht="24" customHeight="1">
      <x:c r="A198" s="33" t="str">
        <x:v>Training_Requirements</x:v>
      </x:c>
      <x:c r="B198" s="33" t="str">
        <x:v>scope_type</x:v>
      </x:c>
      <x:c r="C198" s="33" t="str">
        <x:v>ROLE_GROUP</x:v>
      </x:c>
      <x:c r="D198" s="50" t="str">
        <x:v>Allowed value: ROLE_GROUP</x:v>
      </x:c>
      <x:c r="E198" s="34" t="b">
        <x:v>0</x:v>
      </x:c>
      <x:c r="F198" s="50" t="str">
        <x:v>Use exactly as written in API/database contracts</x:v>
      </x:c>
    </x:row>
    <x:row r="199" ht="24" customHeight="1">
      <x:c r="A199" s="33" t="str">
        <x:v>PPE_Transactions</x:v>
      </x:c>
      <x:c r="B199" s="33" t="str">
        <x:v>transaction_type</x:v>
      </x:c>
      <x:c r="C199" s="33" t="str">
        <x:v>ISSUE</x:v>
      </x:c>
      <x:c r="D199" s="50" t="str">
        <x:v>Allowed value: ISSUE</x:v>
      </x:c>
      <x:c r="E199" s="34" t="b">
        <x:v>0</x:v>
      </x:c>
      <x:c r="F199" s="50" t="str">
        <x:v>Use exactly as written in API/database contracts</x:v>
      </x:c>
    </x:row>
    <x:row r="200" ht="24" customHeight="1">
      <x:c r="A200" s="33" t="str">
        <x:v>PPE_Transactions</x:v>
      </x:c>
      <x:c r="B200" s="33" t="str">
        <x:v>transaction_type</x:v>
      </x:c>
      <x:c r="C200" s="33" t="str">
        <x:v>RETURN</x:v>
      </x:c>
      <x:c r="D200" s="50" t="str">
        <x:v>Allowed value: RETURN</x:v>
      </x:c>
      <x:c r="E200" s="34" t="b">
        <x:v>0</x:v>
      </x:c>
      <x:c r="F200" s="50" t="str">
        <x:v>Use exactly as written in API/database contracts</x:v>
      </x:c>
    </x:row>
    <x:row r="201" ht="24" customHeight="1">
      <x:c r="A201" s="33" t="str">
        <x:v>PPE_Transactions</x:v>
      </x:c>
      <x:c r="B201" s="33" t="str">
        <x:v>transaction_type</x:v>
      </x:c>
      <x:c r="C201" s="33" t="str">
        <x:v>ADJUSTMENT</x:v>
      </x:c>
      <x:c r="D201" s="50" t="str">
        <x:v>Allowed value: ADJUSTMENT</x:v>
      </x:c>
      <x:c r="E201" s="34" t="b">
        <x:v>0</x:v>
      </x:c>
      <x:c r="F201" s="50" t="str">
        <x:v>Use exactly as written in API/database contracts</x:v>
      </x:c>
    </x:row>
    <x:row r="202" ht="24" customHeight="1">
      <x:c r="A202" s="33" t="str">
        <x:v>PPE_Transactions</x:v>
      </x:c>
      <x:c r="B202" s="33" t="str">
        <x:v>transaction_type</x:v>
      </x:c>
      <x:c r="C202" s="33" t="str">
        <x:v>DISPOSAL</x:v>
      </x:c>
      <x:c r="D202" s="50" t="str">
        <x:v>Allowed value: DISPOSAL</x:v>
      </x:c>
      <x:c r="E202" s="34" t="b">
        <x:v>0</x:v>
      </x:c>
      <x:c r="F202" s="50" t="str">
        <x:v>Use exactly as written in API/database contracts</x:v>
      </x:c>
    </x:row>
    <x:row r="203" ht="24" customHeight="1">
      <x:c r="A203" s="33" t="str">
        <x:v>Fixed_Safety_Assets</x:v>
      </x:c>
      <x:c r="B203" s="33" t="str">
        <x:v>status</x:v>
      </x:c>
      <x:c r="C203" s="33" t="str">
        <x:v>OPERATIONAL</x:v>
      </x:c>
      <x:c r="D203" s="50" t="str">
        <x:v>Allowed value: OPERATIONAL</x:v>
      </x:c>
      <x:c r="E203" s="34" t="b">
        <x:v>0</x:v>
      </x:c>
      <x:c r="F203" s="50" t="str">
        <x:v>Use exactly as written in API/database contracts</x:v>
      </x:c>
    </x:row>
    <x:row r="204" ht="24" customHeight="1">
      <x:c r="A204" s="33" t="str">
        <x:v>Fixed_Safety_Assets</x:v>
      </x:c>
      <x:c r="B204" s="33" t="str">
        <x:v>status</x:v>
      </x:c>
      <x:c r="C204" s="33" t="str">
        <x:v>PARTIAL</x:v>
      </x:c>
      <x:c r="D204" s="50" t="str">
        <x:v>Allowed value: PARTIAL</x:v>
      </x:c>
      <x:c r="E204" s="34" t="b">
        <x:v>0</x:v>
      </x:c>
      <x:c r="F204" s="50" t="str">
        <x:v>Use exactly as written in API/database contracts</x:v>
      </x:c>
    </x:row>
    <x:row r="205" ht="24" customHeight="1">
      <x:c r="A205" s="33" t="str">
        <x:v>Fixed_Safety_Assets</x:v>
      </x:c>
      <x:c r="B205" s="33" t="str">
        <x:v>status</x:v>
      </x:c>
      <x:c r="C205" s="33" t="str">
        <x:v>OUT_OF_SERVICE</x:v>
      </x:c>
      <x:c r="D205" s="50" t="str">
        <x:v>Allowed value: OUT_OF_SERVICE</x:v>
      </x:c>
      <x:c r="E205" s="34" t="b">
        <x:v>0</x:v>
      </x:c>
      <x:c r="F205" s="50" t="str">
        <x:v>Use exactly as written in API/database contracts</x:v>
      </x:c>
    </x:row>
    <x:row r="206" ht="24" customHeight="1">
      <x:c r="A206" s="33" t="str">
        <x:v>IoT_Sensors</x:v>
      </x:c>
      <x:c r="B206" s="33" t="str">
        <x:v>status</x:v>
      </x:c>
      <x:c r="C206" s="33" t="str">
        <x:v>ACTIVE</x:v>
      </x:c>
      <x:c r="D206" s="50" t="str">
        <x:v>Currently active/in force</x:v>
      </x:c>
      <x:c r="E206" s="34" t="b">
        <x:v>0</x:v>
      </x:c>
      <x:c r="F206" s="50" t="str">
        <x:v>Use exactly as written in API/database contracts</x:v>
      </x:c>
    </x:row>
    <x:row r="207" ht="24" customHeight="1">
      <x:c r="A207" s="33" t="str">
        <x:v>IoT_Sensors</x:v>
      </x:c>
      <x:c r="B207" s="33" t="str">
        <x:v>status</x:v>
      </x:c>
      <x:c r="C207" s="33" t="str">
        <x:v>MAINTENANCE</x:v>
      </x:c>
      <x:c r="D207" s="50" t="str">
        <x:v>Allowed value: MAINTENANCE</x:v>
      </x:c>
      <x:c r="E207" s="34" t="b">
        <x:v>0</x:v>
      </x:c>
      <x:c r="F207" s="50" t="str">
        <x:v>Use exactly as written in API/database contracts</x:v>
      </x:c>
    </x:row>
    <x:row r="208" ht="24" customHeight="1">
      <x:c r="A208" s="33" t="str">
        <x:v>IoT_Sensors</x:v>
      </x:c>
      <x:c r="B208" s="33" t="str">
        <x:v>status</x:v>
      </x:c>
      <x:c r="C208" s="33" t="str">
        <x:v>OFFLINE</x:v>
      </x:c>
      <x:c r="D208" s="50" t="str">
        <x:v>Allowed value: OFFLINE</x:v>
      </x:c>
      <x:c r="E208" s="34" t="b">
        <x:v>0</x:v>
      </x:c>
      <x:c r="F208" s="50" t="str">
        <x:v>Use exactly as written in API/database contracts</x:v>
      </x:c>
    </x:row>
    <x:row r="209" ht="24" customHeight="1">
      <x:c r="A209" s="33" t="str">
        <x:v>Sensor_Readings</x:v>
      </x:c>
      <x:c r="B209" s="33" t="str">
        <x:v>quality</x:v>
      </x:c>
      <x:c r="C209" s="33" t="str">
        <x:v>GOOD</x:v>
      </x:c>
      <x:c r="D209" s="50" t="str">
        <x:v>Allowed value: GOOD</x:v>
      </x:c>
      <x:c r="E209" s="34" t="b">
        <x:v>0</x:v>
      </x:c>
      <x:c r="F209" s="50" t="str">
        <x:v>Use exactly as written in API/database contracts</x:v>
      </x:c>
    </x:row>
    <x:row r="210" ht="24" customHeight="1">
      <x:c r="A210" s="33" t="str">
        <x:v>Sensor_Readings</x:v>
      </x:c>
      <x:c r="B210" s="33" t="str">
        <x:v>quality</x:v>
      </x:c>
      <x:c r="C210" s="33" t="str">
        <x:v>SUSPECT</x:v>
      </x:c>
      <x:c r="D210" s="50" t="str">
        <x:v>Allowed value: SUSPECT</x:v>
      </x:c>
      <x:c r="E210" s="34" t="b">
        <x:v>0</x:v>
      </x:c>
      <x:c r="F210" s="50" t="str">
        <x:v>Use exactly as written in API/database contracts</x:v>
      </x:c>
    </x:row>
    <x:row r="211" ht="24" customHeight="1">
      <x:c r="A211" s="33" t="str">
        <x:v>Sensor_Readings</x:v>
      </x:c>
      <x:c r="B211" s="33" t="str">
        <x:v>quality</x:v>
      </x:c>
      <x:c r="C211" s="33" t="str">
        <x:v>BAD</x:v>
      </x:c>
      <x:c r="D211" s="50" t="str">
        <x:v>Allowed value: BAD</x:v>
      </x:c>
      <x:c r="E211" s="34" t="b">
        <x:v>0</x:v>
      </x:c>
      <x:c r="F211" s="50" t="str">
        <x:v>Use exactly as written in API/database contracts</x:v>
      </x:c>
    </x:row>
    <x:row r="212" ht="24" customHeight="1">
      <x:c r="A212" s="33" t="str">
        <x:v>Cameras</x:v>
      </x:c>
      <x:c r="B212" s="33" t="str">
        <x:v>status</x:v>
      </x:c>
      <x:c r="C212" s="33" t="str">
        <x:v>ACTIVE</x:v>
      </x:c>
      <x:c r="D212" s="50" t="str">
        <x:v>Currently active/in force</x:v>
      </x:c>
      <x:c r="E212" s="34" t="b">
        <x:v>0</x:v>
      </x:c>
      <x:c r="F212" s="50" t="str">
        <x:v>Use exactly as written in API/database contracts</x:v>
      </x:c>
    </x:row>
    <x:row r="213" ht="24" customHeight="1">
      <x:c r="A213" s="33" t="str">
        <x:v>Cameras</x:v>
      </x:c>
      <x:c r="B213" s="33" t="str">
        <x:v>status</x:v>
      </x:c>
      <x:c r="C213" s="33" t="str">
        <x:v>OFFLINE</x:v>
      </x:c>
      <x:c r="D213" s="50" t="str">
        <x:v>Allowed value: OFFLINE</x:v>
      </x:c>
      <x:c r="E213" s="34" t="b">
        <x:v>0</x:v>
      </x:c>
      <x:c r="F213" s="50" t="str">
        <x:v>Use exactly as written in API/database contracts</x:v>
      </x:c>
    </x:row>
    <x:row r="214" ht="24" customHeight="1">
      <x:c r="A214" s="33" t="str">
        <x:v>Cameras</x:v>
      </x:c>
      <x:c r="B214" s="33" t="str">
        <x:v>status</x:v>
      </x:c>
      <x:c r="C214" s="33" t="str">
        <x:v>MAINTENANCE</x:v>
      </x:c>
      <x:c r="D214" s="50" t="str">
        <x:v>Allowed value: MAINTENANCE</x:v>
      </x:c>
      <x:c r="E214" s="34" t="b">
        <x:v>0</x:v>
      </x:c>
      <x:c r="F214" s="50" t="str">
        <x:v>Use exactly as written in API/database contracts</x:v>
      </x:c>
    </x:row>
    <x:row r="215" ht="24" customHeight="1">
      <x:c r="A215" s="33" t="str">
        <x:v>AI_Events</x:v>
      </x:c>
      <x:c r="B215" s="33" t="str">
        <x:v>severity</x:v>
      </x:c>
      <x:c r="C215" s="33" t="str">
        <x:v>NORMAL</x:v>
      </x:c>
      <x:c r="D215" s="50" t="str">
        <x:v>Within configured limits</x:v>
      </x:c>
      <x:c r="E215" s="34" t="b">
        <x:v>0</x:v>
      </x:c>
      <x:c r="F215" s="50" t="str">
        <x:v>Use exactly as written in API/database contracts</x:v>
      </x:c>
    </x:row>
    <x:row r="216" ht="24" customHeight="1">
      <x:c r="A216" s="33" t="str">
        <x:v>AI_Events</x:v>
      </x:c>
      <x:c r="B216" s="33" t="str">
        <x:v>severity</x:v>
      </x:c>
      <x:c r="C216" s="33" t="str">
        <x:v>MEDIUM</x:v>
      </x:c>
      <x:c r="D216" s="50" t="str">
        <x:v>Moderate priority</x:v>
      </x:c>
      <x:c r="E216" s="34" t="b">
        <x:v>0</x:v>
      </x:c>
      <x:c r="F216" s="50" t="str">
        <x:v>Use exactly as written in API/database contracts</x:v>
      </x:c>
    </x:row>
    <x:row r="217" ht="24" customHeight="1">
      <x:c r="A217" s="33" t="str">
        <x:v>AI_Events</x:v>
      </x:c>
      <x:c r="B217" s="33" t="str">
        <x:v>severity</x:v>
      </x:c>
      <x:c r="C217" s="33" t="str">
        <x:v>HIGH</x:v>
      </x:c>
      <x:c r="D217" s="50" t="str">
        <x:v>High priority or severity</x:v>
      </x:c>
      <x:c r="E217" s="34" t="b">
        <x:v>0</x:v>
      </x:c>
      <x:c r="F217" s="50" t="str">
        <x:v>Use exactly as written in API/database contracts</x:v>
      </x:c>
    </x:row>
    <x:row r="218" ht="24" customHeight="1">
      <x:c r="A218" s="33" t="str">
        <x:v>AI_Events</x:v>
      </x:c>
      <x:c r="B218" s="33" t="str">
        <x:v>severity</x:v>
      </x:c>
      <x:c r="C218" s="33" t="str">
        <x:v>CRITICAL</x:v>
      </x:c>
      <x:c r="D218" s="50" t="str">
        <x:v>Immediate/highest concern</x:v>
      </x:c>
      <x:c r="E218" s="34" t="b">
        <x:v>0</x:v>
      </x:c>
      <x:c r="F218" s="50" t="str">
        <x:v>Use exactly as written in API/database contracts</x:v>
      </x:c>
    </x:row>
    <x:row r="219" ht="24" customHeight="1">
      <x:c r="A219" s="33" t="str">
        <x:v>AI_Events</x:v>
      </x:c>
      <x:c r="B219" s="33" t="str">
        <x:v>status</x:v>
      </x:c>
      <x:c r="C219" s="33" t="str">
        <x:v>OPEN</x:v>
      </x:c>
      <x:c r="D219" s="50" t="str">
        <x:v>Open action/event</x:v>
      </x:c>
      <x:c r="E219" s="34" t="b">
        <x:v>0</x:v>
      </x:c>
      <x:c r="F219" s="50" t="str">
        <x:v>Use exactly as written in API/database contracts</x:v>
      </x:c>
    </x:row>
    <x:row r="220" ht="24" customHeight="1">
      <x:c r="A220" s="33" t="str">
        <x:v>AI_Events</x:v>
      </x:c>
      <x:c r="B220" s="33" t="str">
        <x:v>status</x:v>
      </x:c>
      <x:c r="C220" s="33" t="str">
        <x:v>RESOLVED</x:v>
      </x:c>
      <x:c r="D220" s="50" t="str">
        <x:v>Issue resolved</x:v>
      </x:c>
      <x:c r="E220" s="34" t="b">
        <x:v>1</x:v>
      </x:c>
      <x:c r="F220" s="50" t="str">
        <x:v>Use exactly as written in API/database contracts</x:v>
      </x:c>
    </x:row>
    <x:row r="221" ht="24" customHeight="1">
      <x:c r="A221" s="33" t="str">
        <x:v>AI_Events</x:v>
      </x:c>
      <x:c r="B221" s="33" t="str">
        <x:v>status</x:v>
      </x:c>
      <x:c r="C221" s="33" t="str">
        <x:v>FALSE_POSITIVE</x:v>
      </x:c>
      <x:c r="D221" s="50" t="str">
        <x:v>AI event rejected by human review</x:v>
      </x:c>
      <x:c r="E221" s="34" t="b">
        <x:v>0</x:v>
      </x:c>
      <x:c r="F221" s="50" t="str">
        <x:v>Use exactly as written in API/database contracts</x:v>
      </x:c>
    </x:row>
    <x:row r="222" ht="24" customHeight="1">
      <x:c r="A222" s="33" t="str">
        <x:v>AI_Events</x:v>
      </x:c>
      <x:c r="B222" s="33" t="str">
        <x:v>status</x:v>
      </x:c>
      <x:c r="C222" s="33" t="str">
        <x:v>MODEL_REVIEW</x:v>
      </x:c>
      <x:c r="D222" s="50" t="str">
        <x:v>Allowed value: MODEL_REVIEW</x:v>
      </x:c>
      <x:c r="E222" s="34" t="b">
        <x:v>0</x:v>
      </x:c>
      <x:c r="F222" s="50" t="str">
        <x:v>Use exactly as written in API/database contracts</x:v>
      </x:c>
    </x:row>
    <x:row r="223" ht="24" customHeight="1">
      <x:c r="A223" s="33" t="str">
        <x:v>Wearable_Devices</x:v>
      </x:c>
      <x:c r="B223" s="33" t="str">
        <x:v>status</x:v>
      </x:c>
      <x:c r="C223" s="33" t="str">
        <x:v>ACTIVE</x:v>
      </x:c>
      <x:c r="D223" s="50" t="str">
        <x:v>Currently active/in force</x:v>
      </x:c>
      <x:c r="E223" s="34" t="b">
        <x:v>0</x:v>
      </x:c>
      <x:c r="F223" s="50" t="str">
        <x:v>Use exactly as written in API/database contracts</x:v>
      </x:c>
    </x:row>
    <x:row r="224" ht="24" customHeight="1">
      <x:c r="A224" s="33" t="str">
        <x:v>Wearable_Devices</x:v>
      </x:c>
      <x:c r="B224" s="33" t="str">
        <x:v>status</x:v>
      </x:c>
      <x:c r="C224" s="33" t="str">
        <x:v>CHARGING</x:v>
      </x:c>
      <x:c r="D224" s="50" t="str">
        <x:v>Allowed value: CHARGING</x:v>
      </x:c>
      <x:c r="E224" s="34" t="b">
        <x:v>0</x:v>
      </x:c>
      <x:c r="F224" s="50" t="str">
        <x:v>Use exactly as written in API/database contracts</x:v>
      </x:c>
    </x:row>
    <x:row r="225" ht="24" customHeight="1">
      <x:c r="A225" s="33" t="str">
        <x:v>Wearable_Devices</x:v>
      </x:c>
      <x:c r="B225" s="33" t="str">
        <x:v>status</x:v>
      </x:c>
      <x:c r="C225" s="33" t="str">
        <x:v>OFFLINE</x:v>
      </x:c>
      <x:c r="D225" s="50" t="str">
        <x:v>Allowed value: OFFLINE</x:v>
      </x:c>
      <x:c r="E225" s="34" t="b">
        <x:v>0</x:v>
      </x:c>
      <x:c r="F225" s="50" t="str">
        <x:v>Use exactly as written in API/database contracts</x:v>
      </x:c>
    </x:row>
    <x:row r="226" ht="24" customHeight="1">
      <x:c r="A226" s="33" t="str">
        <x:v>Wearable_Devices</x:v>
      </x:c>
      <x:c r="B226" s="33" t="str">
        <x:v>status</x:v>
      </x:c>
      <x:c r="C226" s="33" t="str">
        <x:v>RETIRED</x:v>
      </x:c>
      <x:c r="D226" s="50" t="str">
        <x:v>Allowed value: RETIRED</x:v>
      </x:c>
      <x:c r="E226" s="34" t="b">
        <x:v>0</x:v>
      </x:c>
      <x:c r="F226" s="50" t="str">
        <x:v>Use exactly as written in API/database contracts</x:v>
      </x:c>
    </x:row>
    <x:row r="227" ht="24" customHeight="1">
      <x:c r="A227" s="33" t="str">
        <x:v>Wearable_Events</x:v>
      </x:c>
      <x:c r="B227" s="33" t="str">
        <x:v>severity</x:v>
      </x:c>
      <x:c r="C227" s="33" t="str">
        <x:v>NORMAL</x:v>
      </x:c>
      <x:c r="D227" s="50" t="str">
        <x:v>Within configured limits</x:v>
      </x:c>
      <x:c r="E227" s="34" t="b">
        <x:v>0</x:v>
      </x:c>
      <x:c r="F227" s="50" t="str">
        <x:v>Use exactly as written in API/database contracts</x:v>
      </x:c>
    </x:row>
    <x:row r="228" ht="24" customHeight="1">
      <x:c r="A228" s="33" t="str">
        <x:v>Wearable_Events</x:v>
      </x:c>
      <x:c r="B228" s="33" t="str">
        <x:v>severity</x:v>
      </x:c>
      <x:c r="C228" s="33" t="str">
        <x:v>WARNING</x:v>
      </x:c>
      <x:c r="D228" s="50" t="str">
        <x:v>Caution threshold</x:v>
      </x:c>
      <x:c r="E228" s="34" t="b">
        <x:v>0</x:v>
      </x:c>
      <x:c r="F228" s="50" t="str">
        <x:v>Use exactly as written in API/database contracts</x:v>
      </x:c>
    </x:row>
    <x:row r="229" ht="24" customHeight="1">
      <x:c r="A229" s="33" t="str">
        <x:v>Wearable_Events</x:v>
      </x:c>
      <x:c r="B229" s="33" t="str">
        <x:v>severity</x:v>
      </x:c>
      <x:c r="C229" s="33" t="str">
        <x:v>HIGH</x:v>
      </x:c>
      <x:c r="D229" s="50" t="str">
        <x:v>High priority or severity</x:v>
      </x:c>
      <x:c r="E229" s="34" t="b">
        <x:v>0</x:v>
      </x:c>
      <x:c r="F229" s="50" t="str">
        <x:v>Use exactly as written in API/database contracts</x:v>
      </x:c>
    </x:row>
    <x:row r="230" ht="24" customHeight="1">
      <x:c r="A230" s="33" t="str">
        <x:v>Wearable_Events</x:v>
      </x:c>
      <x:c r="B230" s="33" t="str">
        <x:v>severity</x:v>
      </x:c>
      <x:c r="C230" s="33" t="str">
        <x:v>CRITICAL</x:v>
      </x:c>
      <x:c r="D230" s="50" t="str">
        <x:v>Immediate/highest concern</x:v>
      </x:c>
      <x:c r="E230" s="34" t="b">
        <x:v>0</x:v>
      </x:c>
      <x:c r="F230" s="50" t="str">
        <x:v>Use exactly as written in API/database contracts</x:v>
      </x:c>
    </x:row>
    <x:row r="231" ht="24" customHeight="1">
      <x:c r="A231" s="33" t="str">
        <x:v>Wearable_Events</x:v>
      </x:c>
      <x:c r="B231" s="33" t="str">
        <x:v>status</x:v>
      </x:c>
      <x:c r="C231" s="33" t="str">
        <x:v>OPEN</x:v>
      </x:c>
      <x:c r="D231" s="50" t="str">
        <x:v>Open action/event</x:v>
      </x:c>
      <x:c r="E231" s="34" t="b">
        <x:v>0</x:v>
      </x:c>
      <x:c r="F231" s="50" t="str">
        <x:v>Use exactly as written in API/database contracts</x:v>
      </x:c>
    </x:row>
    <x:row r="232" ht="24" customHeight="1">
      <x:c r="A232" s="33" t="str">
        <x:v>Wearable_Events</x:v>
      </x:c>
      <x:c r="B232" s="33" t="str">
        <x:v>status</x:v>
      </x:c>
      <x:c r="C232" s="33" t="str">
        <x:v>RESOLVED</x:v>
      </x:c>
      <x:c r="D232" s="50" t="str">
        <x:v>Issue resolved</x:v>
      </x:c>
      <x:c r="E232" s="34" t="b">
        <x:v>1</x:v>
      </x:c>
      <x:c r="F232" s="50" t="str">
        <x:v>Use exactly as written in API/database contracts</x:v>
      </x:c>
    </x:row>
    <x:row r="233" ht="24" customHeight="1">
      <x:c r="A233" s="33" t="str">
        <x:v>Wearable_Events</x:v>
      </x:c>
      <x:c r="B233" s="33" t="str">
        <x:v>status</x:v>
      </x:c>
      <x:c r="C233" s="33" t="str">
        <x:v>CLOSED</x:v>
      </x:c>
      <x:c r="D233" s="50" t="str">
        <x:v>Final closed state</x:v>
      </x:c>
      <x:c r="E233" s="34" t="b">
        <x:v>1</x:v>
      </x:c>
      <x:c r="F233" s="50" t="str">
        <x:v>Use exactly as written in API/database contracts</x:v>
      </x:c>
    </x:row>
    <x:row r="234" ht="24" customHeight="1">
      <x:c r="A234" s="33" t="str">
        <x:v>Wearable_Events</x:v>
      </x:c>
      <x:c r="B234" s="33" t="str">
        <x:v>status</x:v>
      </x:c>
      <x:c r="C234" s="33" t="str">
        <x:v>FALSE_POSITIVE</x:v>
      </x:c>
      <x:c r="D234" s="50" t="str">
        <x:v>AI event rejected by human review</x:v>
      </x:c>
      <x:c r="E234" s="34" t="b">
        <x:v>0</x:v>
      </x:c>
      <x:c r="F234" s="50" t="str">
        <x:v>Use exactly as written in API/database contracts</x:v>
      </x:c>
    </x:row>
    <x:row r="235" ht="24" customHeight="1">
      <x:c r="A235" s="33" t="str">
        <x:v>Wearable_Events</x:v>
      </x:c>
      <x:c r="B235" s="33" t="str">
        <x:v>status</x:v>
      </x:c>
      <x:c r="C235" s="33" t="str">
        <x:v>TEST</x:v>
      </x:c>
      <x:c r="D235" s="50" t="str">
        <x:v>Allowed value: TEST</x:v>
      </x:c>
      <x:c r="E235" s="34" t="b">
        <x:v>0</x:v>
      </x:c>
      <x:c r="F235" s="50" t="str">
        <x:v>Use exactly as written in API/database contracts</x:v>
      </x:c>
    </x:row>
    <x:row r="236" ht="24" customHeight="1">
      <x:c r="A236" s="33" t="str">
        <x:v>Integrations</x:v>
      </x:c>
      <x:c r="B236" s="33" t="str">
        <x:v>direction</x:v>
      </x:c>
      <x:c r="C236" s="33" t="str">
        <x:v>INBOUND</x:v>
      </x:c>
      <x:c r="D236" s="50" t="str">
        <x:v>Allowed value: INBOUND</x:v>
      </x:c>
      <x:c r="E236" s="34" t="b">
        <x:v>0</x:v>
      </x:c>
      <x:c r="F236" s="50" t="str">
        <x:v>Use exactly as written in API/database contracts</x:v>
      </x:c>
    </x:row>
    <x:row r="237" ht="24" customHeight="1">
      <x:c r="A237" s="33" t="str">
        <x:v>Integrations</x:v>
      </x:c>
      <x:c r="B237" s="33" t="str">
        <x:v>direction</x:v>
      </x:c>
      <x:c r="C237" s="33" t="str">
        <x:v>OUTBOUND</x:v>
      </x:c>
      <x:c r="D237" s="50" t="str">
        <x:v>Allowed value: OUTBOUND</x:v>
      </x:c>
      <x:c r="E237" s="34" t="b">
        <x:v>0</x:v>
      </x:c>
      <x:c r="F237" s="50" t="str">
        <x:v>Use exactly as written in API/database contracts</x:v>
      </x:c>
    </x:row>
    <x:row r="238" ht="24" customHeight="1">
      <x:c r="A238" s="33" t="str">
        <x:v>Integrations</x:v>
      </x:c>
      <x:c r="B238" s="33" t="str">
        <x:v>direction</x:v>
      </x:c>
      <x:c r="C238" s="33" t="str">
        <x:v>BIDIRECTIONAL</x:v>
      </x:c>
      <x:c r="D238" s="50" t="str">
        <x:v>Allowed value: BIDIRECTIONAL</x:v>
      </x:c>
      <x:c r="E238" s="34" t="b">
        <x:v>0</x:v>
      </x:c>
      <x:c r="F238" s="50" t="str">
        <x:v>Use exactly as written in API/database contracts</x:v>
      </x:c>
    </x:row>
    <x:row r="239" ht="24" customHeight="1">
      <x:c r="A239" s="33" t="str">
        <x:v>Integrations</x:v>
      </x:c>
      <x:c r="B239" s="33" t="str">
        <x:v>status</x:v>
      </x:c>
      <x:c r="C239" s="33" t="str">
        <x:v>CONNECTED</x:v>
      </x:c>
      <x:c r="D239" s="50" t="str">
        <x:v>Integration healthy</x:v>
      </x:c>
      <x:c r="E239" s="34" t="b">
        <x:v>0</x:v>
      </x:c>
      <x:c r="F239" s="50" t="str">
        <x:v>Use exactly as written in API/database contracts</x:v>
      </x:c>
    </x:row>
    <x:row r="240" ht="24" customHeight="1">
      <x:c r="A240" s="33" t="str">
        <x:v>Integrations</x:v>
      </x:c>
      <x:c r="B240" s="33" t="str">
        <x:v>status</x:v>
      </x:c>
      <x:c r="C240" s="33" t="str">
        <x:v>TESTING</x:v>
      </x:c>
      <x:c r="D240" s="50" t="str">
        <x:v>Not production-ready</x:v>
      </x:c>
      <x:c r="E240" s="34" t="b">
        <x:v>0</x:v>
      </x:c>
      <x:c r="F240" s="50" t="str">
        <x:v>Use exactly as written in API/database contracts</x:v>
      </x:c>
    </x:row>
    <x:row r="241" ht="24" customHeight="1">
      <x:c r="A241" s="33" t="str">
        <x:v>Integrations</x:v>
      </x:c>
      <x:c r="B241" s="33" t="str">
        <x:v>status</x:v>
      </x:c>
      <x:c r="C241" s="33" t="str">
        <x:v>DEGRADED</x:v>
      </x:c>
      <x:c r="D241" s="50" t="str">
        <x:v>Allowed value: DEGRADED</x:v>
      </x:c>
      <x:c r="E241" s="34" t="b">
        <x:v>0</x:v>
      </x:c>
      <x:c r="F241" s="50" t="str">
        <x:v>Use exactly as written in API/database contracts</x:v>
      </x:c>
    </x:row>
    <x:row r="242" ht="24" customHeight="1">
      <x:c r="A242" s="33" t="str">
        <x:v>Integrations</x:v>
      </x:c>
      <x:c r="B242" s="33" t="str">
        <x:v>status</x:v>
      </x:c>
      <x:c r="C242" s="33" t="str">
        <x:v>OFFLINE</x:v>
      </x:c>
      <x:c r="D242" s="50" t="str">
        <x:v>Allowed value: OFFLINE</x:v>
      </x:c>
      <x:c r="E242" s="34" t="b">
        <x:v>0</x:v>
      </x:c>
      <x:c r="F242" s="50" t="str">
        <x:v>Use exactly as written in API/database contracts</x:v>
      </x:c>
    </x:row>
    <x:row r="243" ht="24" customHeight="1">
      <x:c r="A243" s="33" t="str">
        <x:v>API_Logs</x:v>
      </x:c>
      <x:c r="B243" s="33" t="str">
        <x:v>method</x:v>
      </x:c>
      <x:c r="C243" s="33" t="str">
        <x:v>GET</x:v>
      </x:c>
      <x:c r="D243" s="50" t="str">
        <x:v>Allowed value: GET</x:v>
      </x:c>
      <x:c r="E243" s="34" t="b">
        <x:v>0</x:v>
      </x:c>
      <x:c r="F243" s="50" t="str">
        <x:v>Use exactly as written in API/database contracts</x:v>
      </x:c>
    </x:row>
    <x:row r="244" ht="24" customHeight="1">
      <x:c r="A244" s="33" t="str">
        <x:v>API_Logs</x:v>
      </x:c>
      <x:c r="B244" s="33" t="str">
        <x:v>method</x:v>
      </x:c>
      <x:c r="C244" s="33" t="str">
        <x:v>POST</x:v>
      </x:c>
      <x:c r="D244" s="50" t="str">
        <x:v>Allowed value: POST</x:v>
      </x:c>
      <x:c r="E244" s="34" t="b">
        <x:v>0</x:v>
      </x:c>
      <x:c r="F244" s="50" t="str">
        <x:v>Use exactly as written in API/database contracts</x:v>
      </x:c>
    </x:row>
    <x:row r="245" ht="24" customHeight="1">
      <x:c r="A245" s="33" t="str">
        <x:v>API_Logs</x:v>
      </x:c>
      <x:c r="B245" s="33" t="str">
        <x:v>method</x:v>
      </x:c>
      <x:c r="C245" s="33" t="str">
        <x:v>PUT</x:v>
      </x:c>
      <x:c r="D245" s="50" t="str">
        <x:v>Allowed value: PUT</x:v>
      </x:c>
      <x:c r="E245" s="34" t="b">
        <x:v>0</x:v>
      </x:c>
      <x:c r="F245" s="50" t="str">
        <x:v>Use exactly as written in API/database contracts</x:v>
      </x:c>
    </x:row>
    <x:row r="246" ht="24" customHeight="1">
      <x:c r="A246" s="33" t="str">
        <x:v>API_Logs</x:v>
      </x:c>
      <x:c r="B246" s="33" t="str">
        <x:v>method</x:v>
      </x:c>
      <x:c r="C246" s="33" t="str">
        <x:v>PATCH</x:v>
      </x:c>
      <x:c r="D246" s="50" t="str">
        <x:v>Allowed value: PATCH</x:v>
      </x:c>
      <x:c r="E246" s="34" t="b">
        <x:v>0</x:v>
      </x:c>
      <x:c r="F246" s="50" t="str">
        <x:v>Use exactly as written in API/database contracts</x:v>
      </x:c>
    </x:row>
    <x:row r="247" ht="24" customHeight="1">
      <x:c r="A247" s="33" t="str">
        <x:v>API_Logs</x:v>
      </x:c>
      <x:c r="B247" s="33" t="str">
        <x:v>method</x:v>
      </x:c>
      <x:c r="C247" s="33" t="str">
        <x:v>DELETE</x:v>
      </x:c>
      <x:c r="D247" s="50" t="str">
        <x:v>Allowed value: DELETE</x:v>
      </x:c>
      <x:c r="E247" s="34" t="b">
        <x:v>0</x:v>
      </x:c>
      <x:c r="F247" s="50" t="str">
        <x:v>Use exactly as written in API/database contracts</x:v>
      </x:c>
    </x:row>
    <x:row r="248" ht="24" customHeight="1">
      <x:c r="A248" s="33" t="str">
        <x:v>Notifications</x:v>
      </x:c>
      <x:c r="B248" s="33" t="str">
        <x:v>severity</x:v>
      </x:c>
      <x:c r="C248" s="33" t="str">
        <x:v>INFO</x:v>
      </x:c>
      <x:c r="D248" s="50" t="str">
        <x:v>Allowed value: INFO</x:v>
      </x:c>
      <x:c r="E248" s="34" t="b">
        <x:v>0</x:v>
      </x:c>
      <x:c r="F248" s="50" t="str">
        <x:v>Use exactly as written in API/database contracts</x:v>
      </x:c>
    </x:row>
    <x:row r="249" ht="24" customHeight="1">
      <x:c r="A249" s="33" t="str">
        <x:v>Notifications</x:v>
      </x:c>
      <x:c r="B249" s="33" t="str">
        <x:v>severity</x:v>
      </x:c>
      <x:c r="C249" s="33" t="str">
        <x:v>WARNING</x:v>
      </x:c>
      <x:c r="D249" s="50" t="str">
        <x:v>Caution threshold</x:v>
      </x:c>
      <x:c r="E249" s="34" t="b">
        <x:v>0</x:v>
      </x:c>
      <x:c r="F249" s="50" t="str">
        <x:v>Use exactly as written in API/database contracts</x:v>
      </x:c>
    </x:row>
    <x:row r="250" ht="24" customHeight="1">
      <x:c r="A250" s="33" t="str">
        <x:v>Notifications</x:v>
      </x:c>
      <x:c r="B250" s="33" t="str">
        <x:v>severity</x:v>
      </x:c>
      <x:c r="C250" s="33" t="str">
        <x:v>HIGH</x:v>
      </x:c>
      <x:c r="D250" s="50" t="str">
        <x:v>High priority or severity</x:v>
      </x:c>
      <x:c r="E250" s="34" t="b">
        <x:v>0</x:v>
      </x:c>
      <x:c r="F250" s="50" t="str">
        <x:v>Use exactly as written in API/database contracts</x:v>
      </x:c>
    </x:row>
    <x:row r="251" ht="24" customHeight="1">
      <x:c r="A251" s="33" t="str">
        <x:v>Notifications</x:v>
      </x:c>
      <x:c r="B251" s="33" t="str">
        <x:v>severity</x:v>
      </x:c>
      <x:c r="C251" s="33" t="str">
        <x:v>CRITICAL</x:v>
      </x:c>
      <x:c r="D251" s="50" t="str">
        <x:v>Immediate/highest concern</x:v>
      </x:c>
      <x:c r="E251" s="34" t="b">
        <x:v>0</x:v>
      </x:c>
      <x:c r="F251" s="50" t="str">
        <x:v>Use exactly as written in API/database contracts</x:v>
      </x:c>
    </x:row>
    <x:row r="252" ht="24" customHeight="1">
      <x:c r="A252" s="33" t="str">
        <x:v>Notifications</x:v>
      </x:c>
      <x:c r="B252" s="33" t="str">
        <x:v>recipient_type</x:v>
      </x:c>
      <x:c r="C252" s="33" t="str">
        <x:v>ROLE</x:v>
      </x:c>
      <x:c r="D252" s="50" t="str">
        <x:v>Allowed value: ROLE</x:v>
      </x:c>
      <x:c r="E252" s="34" t="b">
        <x:v>0</x:v>
      </x:c>
      <x:c r="F252" s="50" t="str">
        <x:v>Use exactly as written in API/database contracts</x:v>
      </x:c>
    </x:row>
    <x:row r="253" ht="24" customHeight="1">
      <x:c r="A253" s="33" t="str">
        <x:v>Notifications</x:v>
      </x:c>
      <x:c r="B253" s="33" t="str">
        <x:v>recipient_type</x:v>
      </x:c>
      <x:c r="C253" s="33" t="str">
        <x:v>USER</x:v>
      </x:c>
      <x:c r="D253" s="50" t="str">
        <x:v>Allowed value: USER</x:v>
      </x:c>
      <x:c r="E253" s="34" t="b">
        <x:v>0</x:v>
      </x:c>
      <x:c r="F253" s="50" t="str">
        <x:v>Use exactly as written in API/database contracts</x:v>
      </x:c>
    </x:row>
    <x:row r="254" ht="24" customHeight="1">
      <x:c r="A254" s="33" t="str">
        <x:v>Notifications</x:v>
      </x:c>
      <x:c r="B254" s="33" t="str">
        <x:v>status</x:v>
      </x:c>
      <x:c r="C254" s="33" t="str">
        <x:v>UNREAD</x:v>
      </x:c>
      <x:c r="D254" s="50" t="str">
        <x:v>Notification unread</x:v>
      </x:c>
      <x:c r="E254" s="34" t="b">
        <x:v>0</x:v>
      </x:c>
      <x:c r="F254" s="50" t="str">
        <x:v>Use exactly as written in API/database contracts</x:v>
      </x:c>
    </x:row>
    <x:row r="255" ht="24" customHeight="1">
      <x:c r="A255" s="33" t="str">
        <x:v>Notifications</x:v>
      </x:c>
      <x:c r="B255" s="33" t="str">
        <x:v>status</x:v>
      </x:c>
      <x:c r="C255" s="33" t="str">
        <x:v>READ</x:v>
      </x:c>
      <x:c r="D255" s="50" t="str">
        <x:v>Notification read</x:v>
      </x:c>
      <x:c r="E255" s="34" t="b">
        <x:v>0</x:v>
      </x:c>
      <x:c r="F255" s="50" t="str">
        <x:v>Use exactly as written in API/database contracts</x:v>
      </x:c>
    </x:row>
    <x:row r="256" ht="24" customHeight="1">
      <x:c r="A256" s="33" t="str">
        <x:v>Notifications</x:v>
      </x:c>
      <x:c r="B256" s="33" t="str">
        <x:v>status</x:v>
      </x:c>
      <x:c r="C256" s="33" t="str">
        <x:v>ARCHIVED</x:v>
      </x:c>
      <x:c r="D256" s="50" t="str">
        <x:v>Allowed value: ARCHIVED</x:v>
      </x:c>
      <x:c r="E256" s="34" t="b">
        <x:v>1</x:v>
      </x:c>
      <x:c r="F256" s="50" t="str">
        <x:v>Use exactly as written in API/database contracts</x:v>
      </x:c>
    </x:row>
    <x:row r="257" ht="24" customHeight="1">
      <x:c r="A257" s="33" t="str">
        <x:v>Audit_Log</x:v>
      </x:c>
      <x:c r="B257" s="33" t="str">
        <x:v>actor_type</x:v>
      </x:c>
      <x:c r="C257" s="33" t="str">
        <x:v>USER</x:v>
      </x:c>
      <x:c r="D257" s="50" t="str">
        <x:v>Allowed value: USER</x:v>
      </x:c>
      <x:c r="E257" s="34" t="b">
        <x:v>0</x:v>
      </x:c>
      <x:c r="F257" s="50" t="str">
        <x:v>Use exactly as written in API/database contracts</x:v>
      </x:c>
    </x:row>
    <x:row r="258" ht="24" customHeight="1">
      <x:c r="A258" s="33" t="str">
        <x:v>Audit_Log</x:v>
      </x:c>
      <x:c r="B258" s="33" t="str">
        <x:v>actor_type</x:v>
      </x:c>
      <x:c r="C258" s="33" t="str">
        <x:v>SERVICE</x:v>
      </x:c>
      <x:c r="D258" s="50" t="str">
        <x:v>Allowed value: SERVICE</x:v>
      </x:c>
      <x:c r="E258" s="34" t="b">
        <x:v>0</x:v>
      </x:c>
      <x:c r="F258" s="50" t="str">
        <x:v>Use exactly as written in API/database contracts</x:v>
      </x:c>
    </x:row>
    <x:row r="259" ht="24" customHeight="1">
      <x:c r="A259" s="33" t="str">
        <x:v>Audit_Log</x:v>
      </x:c>
      <x:c r="B259" s="33" t="str">
        <x:v>actor_type</x:v>
      </x:c>
      <x:c r="C259" s="33" t="str">
        <x:v>UNKNOWN</x:v>
      </x:c>
      <x:c r="D259" s="50" t="str">
        <x:v>Allowed value: UNKNOWN</x:v>
      </x:c>
      <x:c r="E259" s="34" t="b">
        <x:v>0</x:v>
      </x:c>
      <x:c r="F259" s="50" t="str">
        <x:v>Use exactly as written in API/database contracts</x:v>
      </x:c>
    </x:row>
    <x:row r="260" ht="24" customHeight="1">
      <x:c r="A260" s="33" t="str">
        <x:v>Audit_Log</x:v>
      </x:c>
      <x:c r="B260" s="33" t="str">
        <x:v>result</x:v>
      </x:c>
      <x:c r="C260" s="33" t="str">
        <x:v>SUCCESS</x:v>
      </x:c>
      <x:c r="D260" s="50" t="str">
        <x:v>Completed successfully</x:v>
      </x:c>
      <x:c r="E260" s="34" t="b">
        <x:v>0</x:v>
      </x:c>
      <x:c r="F260" s="50" t="str">
        <x:v>Use exactly as written in API/database contracts</x:v>
      </x:c>
    </x:row>
    <x:row r="261" ht="24" customHeight="1">
      <x:c r="A261" s="33" t="str">
        <x:v>Audit_Log</x:v>
      </x:c>
      <x:c r="B261" s="33" t="str">
        <x:v>result</x:v>
      </x:c>
      <x:c r="C261" s="33" t="str">
        <x:v>FAILED</x:v>
      </x:c>
      <x:c r="D261" s="50" t="str">
        <x:v>Failed operation</x:v>
      </x:c>
      <x:c r="E261" s="34" t="b">
        <x:v>0</x:v>
      </x:c>
      <x:c r="F261" s="50" t="str">
        <x:v>Use exactly as written in API/database contracts</x:v>
      </x:c>
    </x:row>
    <x:row r="262" ht="24" customHeight="1">
      <x:c r="A262" s="33" t="str">
        <x:v>Audit_Log</x:v>
      </x:c>
      <x:c r="B262" s="33" t="str">
        <x:v>result</x:v>
      </x:c>
      <x:c r="C262" s="33" t="str">
        <x:v>DENIED</x:v>
      </x:c>
      <x:c r="D262" s="50" t="str">
        <x:v>Allowed value: DENIED</x:v>
      </x:c>
      <x:c r="E262" s="34" t="b">
        <x:v>0</x:v>
      </x:c>
      <x:c r="F262" s="50" t="str">
        <x:v>Use exactly as written in API/database contracts</x:v>
      </x:c>
    </x:row>
    <x:row r="263" ht="24" customHeight="1">
      <x:c r="A263" s="33" t="str">
        <x:v>Automation_Rules</x:v>
      </x:c>
      <x:c r="B263" s="33" t="str">
        <x:v>severity</x:v>
      </x:c>
      <x:c r="C263" s="33" t="str">
        <x:v>INFO</x:v>
      </x:c>
      <x:c r="D263" s="50" t="str">
        <x:v>Allowed value: INFO</x:v>
      </x:c>
      <x:c r="E263" s="34" t="b">
        <x:v>0</x:v>
      </x:c>
      <x:c r="F263" s="50" t="str">
        <x:v>Use exactly as written in API/database contracts</x:v>
      </x:c>
    </x:row>
    <x:row r="264" ht="24" customHeight="1">
      <x:c r="A264" s="33" t="str">
        <x:v>Automation_Rules</x:v>
      </x:c>
      <x:c r="B264" s="33" t="str">
        <x:v>severity</x:v>
      </x:c>
      <x:c r="C264" s="33" t="str">
        <x:v>WARNING</x:v>
      </x:c>
      <x:c r="D264" s="50" t="str">
        <x:v>Caution threshold</x:v>
      </x:c>
      <x:c r="E264" s="34" t="b">
        <x:v>0</x:v>
      </x:c>
      <x:c r="F264" s="50" t="str">
        <x:v>Use exactly as written in API/database contracts</x:v>
      </x:c>
    </x:row>
    <x:row r="265" ht="24" customHeight="1">
      <x:c r="A265" s="33" t="str">
        <x:v>Automation_Rules</x:v>
      </x:c>
      <x:c r="B265" s="33" t="str">
        <x:v>severity</x:v>
      </x:c>
      <x:c r="C265" s="33" t="str">
        <x:v>HIGH</x:v>
      </x:c>
      <x:c r="D265" s="50" t="str">
        <x:v>High priority or severity</x:v>
      </x:c>
      <x:c r="E265" s="34" t="b">
        <x:v>0</x:v>
      </x:c>
      <x:c r="F265" s="50" t="str">
        <x:v>Use exactly as written in API/database contracts</x:v>
      </x:c>
    </x:row>
    <x:row r="266" ht="24" customHeight="1">
      <x:c r="A266" s="33" t="str">
        <x:v>Automation_Rules</x:v>
      </x:c>
      <x:c r="B266" s="33" t="str">
        <x:v>severity</x:v>
      </x:c>
      <x:c r="C266" s="33" t="str">
        <x:v>CRITICAL</x:v>
      </x:c>
      <x:c r="D266" s="50" t="str">
        <x:v>Immediate/highest concern</x:v>
      </x:c>
      <x:c r="E266" s="34" t="b">
        <x:v>0</x:v>
      </x:c>
      <x:c r="F266" s="50" t="str">
        <x:v>Use exactly as written in API/database contracts</x:v>
      </x:c>
    </x:row>
    <x:row r="267" ht="24" customHeight="1">
      <x:c r="A267" s="33" t="str">
        <x:v>Automation_Runs</x:v>
      </x:c>
      <x:c r="B267" s="33" t="str">
        <x:v>status</x:v>
      </x:c>
      <x:c r="C267" s="33" t="str">
        <x:v>SUCCESS</x:v>
      </x:c>
      <x:c r="D267" s="50" t="str">
        <x:v>Completed successfully</x:v>
      </x:c>
      <x:c r="E267" s="34" t="b">
        <x:v>0</x:v>
      </x:c>
      <x:c r="F267" s="50" t="str">
        <x:v>Use exactly as written in API/database contracts</x:v>
      </x:c>
    </x:row>
    <x:row r="268" ht="24" customHeight="1">
      <x:c r="A268" s="33" t="str">
        <x:v>Automation_Runs</x:v>
      </x:c>
      <x:c r="B268" s="33" t="str">
        <x:v>status</x:v>
      </x:c>
      <x:c r="C268" s="33" t="str">
        <x:v>PARTIAL_FAILURE</x:v>
      </x:c>
      <x:c r="D268" s="50" t="str">
        <x:v>Allowed value: PARTIAL_FAILURE</x:v>
      </x:c>
      <x:c r="E268" s="34" t="b">
        <x:v>0</x:v>
      </x:c>
      <x:c r="F268" s="50" t="str">
        <x:v>Use exactly as written in API/database contracts</x:v>
      </x:c>
    </x:row>
    <x:row r="269" ht="24" customHeight="1">
      <x:c r="A269" s="33" t="str">
        <x:v>Automation_Runs</x:v>
      </x:c>
      <x:c r="B269" s="33" t="str">
        <x:v>status</x:v>
      </x:c>
      <x:c r="C269" s="33" t="str">
        <x:v>FAILED</x:v>
      </x:c>
      <x:c r="D269" s="50" t="str">
        <x:v>Failed operation</x:v>
      </x:c>
      <x:c r="E269" s="34" t="b">
        <x:v>0</x:v>
      </x:c>
      <x:c r="F269" s="50" t="str">
        <x:v>Use exactly as written in API/database contracts</x:v>
      </x:c>
    </x:row>
    <x:row r="270" ht="24" customHeight="1">
      <x:c r="A270" s="33" t="str">
        <x:v>AI_Models</x:v>
      </x:c>
      <x:c r="B270" s="33" t="str">
        <x:v>status</x:v>
      </x:c>
      <x:c r="C270" s="33" t="str">
        <x:v>TRAINING</x:v>
      </x:c>
      <x:c r="D270" s="50" t="str">
        <x:v>Allowed value: TRAINING</x:v>
      </x:c>
      <x:c r="E270" s="34" t="b">
        <x:v>0</x:v>
      </x:c>
      <x:c r="F270" s="50" t="str">
        <x:v>Use exactly as written in API/database contracts</x:v>
      </x:c>
    </x:row>
    <x:row r="271" ht="24" customHeight="1">
      <x:c r="A271" s="33" t="str">
        <x:v>AI_Models</x:v>
      </x:c>
      <x:c r="B271" s="33" t="str">
        <x:v>status</x:v>
      </x:c>
      <x:c r="C271" s="33" t="str">
        <x:v>VALIDATION</x:v>
      </x:c>
      <x:c r="D271" s="50" t="str">
        <x:v>Allowed value: VALIDATION</x:v>
      </x:c>
      <x:c r="E271" s="34" t="b">
        <x:v>0</x:v>
      </x:c>
      <x:c r="F271" s="50" t="str">
        <x:v>Use exactly as written in API/database contracts</x:v>
      </x:c>
    </x:row>
    <x:row r="272" ht="24" customHeight="1">
      <x:c r="A272" s="33" t="str">
        <x:v>AI_Models</x:v>
      </x:c>
      <x:c r="B272" s="33" t="str">
        <x:v>status</x:v>
      </x:c>
      <x:c r="C272" s="33" t="str">
        <x:v>DEPLOYED</x:v>
      </x:c>
      <x:c r="D272" s="50" t="str">
        <x:v>Allowed value: DEPLOYED</x:v>
      </x:c>
      <x:c r="E272" s="34" t="b">
        <x:v>0</x:v>
      </x:c>
      <x:c r="F272" s="50" t="str">
        <x:v>Use exactly as written in API/database contracts</x:v>
      </x:c>
    </x:row>
    <x:row r="273" ht="24" customHeight="1">
      <x:c r="A273" s="33" t="str">
        <x:v>AI_Models</x:v>
      </x:c>
      <x:c r="B273" s="33" t="str">
        <x:v>status</x:v>
      </x:c>
      <x:c r="C273" s="33" t="str">
        <x:v>RETIRED</x:v>
      </x:c>
      <x:c r="D273" s="50" t="str">
        <x:v>Allowed value: RETIRED</x:v>
      </x:c>
      <x:c r="E273" s="34" t="b">
        <x:v>0</x:v>
      </x:c>
      <x:c r="F273" s="50" t="str">
        <x:v>Use exactly as written in API/database contracts</x:v>
      </x:c>
    </x:row>
    <x:row r="274" ht="24" customHeight="1">
      <x:c r="A274" s="33" t="str">
        <x:v>QA_Sessions</x:v>
      </x:c>
      <x:c r="B274" s="33" t="str">
        <x:v>status</x:v>
      </x:c>
      <x:c r="C274" s="33" t="str">
        <x:v>ACTIVE</x:v>
      </x:c>
      <x:c r="D274" s="50" t="str">
        <x:v>Currently active/in force</x:v>
      </x:c>
      <x:c r="E274" s="34" t="b">
        <x:v>0</x:v>
      </x:c>
      <x:c r="F274" s="50" t="str">
        <x:v>Use exactly as written in API/database contracts</x:v>
      </x:c>
    </x:row>
    <x:row r="275" ht="24" customHeight="1">
      <x:c r="A275" s="33" t="str">
        <x:v>QA_Sessions</x:v>
      </x:c>
      <x:c r="B275" s="33" t="str">
        <x:v>status</x:v>
      </x:c>
      <x:c r="C275" s="33" t="str">
        <x:v>CLOSED</x:v>
      </x:c>
      <x:c r="D275" s="50" t="str">
        <x:v>Final closed state</x:v>
      </x:c>
      <x:c r="E275" s="34" t="b">
        <x:v>1</x:v>
      </x:c>
      <x:c r="F275" s="50" t="str">
        <x:v>Use exactly as written in API/database contracts</x:v>
      </x:c>
    </x:row>
    <x:row r="276" ht="24" customHeight="1">
      <x:c r="A276" s="33" t="str">
        <x:v>QA_Sessions</x:v>
      </x:c>
      <x:c r="B276" s="33" t="str">
        <x:v>status</x:v>
      </x:c>
      <x:c r="C276" s="33" t="str">
        <x:v>DENIED</x:v>
      </x:c>
      <x:c r="D276" s="50" t="str">
        <x:v>Allowed value: DENIED</x:v>
      </x:c>
      <x:c r="E276" s="34" t="b">
        <x:v>0</x:v>
      </x:c>
      <x:c r="F276" s="50" t="str">
        <x:v>Use exactly as written in API/database contracts</x:v>
      </x:c>
    </x:row>
    <x:row r="277" ht="24" customHeight="1">
      <x:c r="A277" s="33" t="str">
        <x:v>QA_Sessions</x:v>
      </x:c>
      <x:c r="B277" s="33" t="str">
        <x:v>sensitivity</x:v>
      </x:c>
      <x:c r="C277" s="33" t="str">
        <x:v>INTERNAL</x:v>
      </x:c>
      <x:c r="D277" s="50" t="str">
        <x:v>Allowed value: INTERNAL</x:v>
      </x:c>
      <x:c r="E277" s="34" t="b">
        <x:v>0</x:v>
      </x:c>
      <x:c r="F277" s="50" t="str">
        <x:v>Use exactly as written in API/database contracts</x:v>
      </x:c>
    </x:row>
    <x:row r="278" ht="24" customHeight="1">
      <x:c r="A278" s="33" t="str">
        <x:v>QA_Sessions</x:v>
      </x:c>
      <x:c r="B278" s="33" t="str">
        <x:v>sensitivity</x:v>
      </x:c>
      <x:c r="C278" s="33" t="str">
        <x:v>CONFIDENTIAL</x:v>
      </x:c>
      <x:c r="D278" s="50" t="str">
        <x:v>Allowed value: CONFIDENTIAL</x:v>
      </x:c>
      <x:c r="E278" s="34" t="b">
        <x:v>0</x:v>
      </x:c>
      <x:c r="F278" s="50" t="str">
        <x:v>Use exactly as written in API/database contracts</x:v>
      </x:c>
    </x:row>
    <x:row r="279" ht="24" customHeight="1">
      <x:c r="A279" s="33" t="str">
        <x:v>QA_Sessions</x:v>
      </x:c>
      <x:c r="B279" s="33" t="str">
        <x:v>sensitivity</x:v>
      </x:c>
      <x:c r="C279" s="33" t="str">
        <x:v>RESTRICTED</x:v>
      </x:c>
      <x:c r="D279" s="50" t="str">
        <x:v>Allowed value: RESTRICTED</x:v>
      </x:c>
      <x:c r="E279" s="34" t="b">
        <x:v>0</x:v>
      </x:c>
      <x:c r="F279" s="50" t="str">
        <x:v>Use exactly as written in API/database contracts</x:v>
      </x:c>
    </x:row>
    <x:row r="280" ht="24" customHeight="1">
      <x:c r="A280" s="33" t="str">
        <x:v>QA_Messages</x:v>
      </x:c>
      <x:c r="B280" s="33" t="str">
        <x:v>role</x:v>
      </x:c>
      <x:c r="C280" s="33" t="str">
        <x:v>USER</x:v>
      </x:c>
      <x:c r="D280" s="50" t="str">
        <x:v>Allowed value: USER</x:v>
      </x:c>
      <x:c r="E280" s="34" t="b">
        <x:v>0</x:v>
      </x:c>
      <x:c r="F280" s="50" t="str">
        <x:v>Use exactly as written in API/database contracts</x:v>
      </x:c>
    </x:row>
    <x:row r="281" ht="24" customHeight="1">
      <x:c r="A281" s="33" t="str">
        <x:v>QA_Messages</x:v>
      </x:c>
      <x:c r="B281" s="33" t="str">
        <x:v>role</x:v>
      </x:c>
      <x:c r="C281" s="33" t="str">
        <x:v>ASSISTANT</x:v>
      </x:c>
      <x:c r="D281" s="50" t="str">
        <x:v>Allowed value: ASSISTANT</x:v>
      </x:c>
      <x:c r="E281" s="34" t="b">
        <x:v>0</x:v>
      </x:c>
      <x:c r="F281" s="50" t="str">
        <x:v>Use exactly as written in API/database contracts</x:v>
      </x:c>
    </x:row>
    <x:row r="282" ht="24" customHeight="1">
      <x:c r="A282" s="33" t="str">
        <x:v>QA_Messages</x:v>
      </x:c>
      <x:c r="B282" s="33" t="str">
        <x:v>role</x:v>
      </x:c>
      <x:c r="C282" s="33" t="str">
        <x:v>SYSTEM</x:v>
      </x:c>
      <x:c r="D282" s="50" t="str">
        <x:v>Allowed value: SYSTEM</x:v>
      </x:c>
      <x:c r="E282" s="34" t="b">
        <x:v>0</x:v>
      </x:c>
      <x:c r="F282" s="50" t="str">
        <x:v>Use exactly as written in API/database contracts</x:v>
      </x:c>
    </x:row>
    <x:row r="283" ht="24" customHeight="1">
      <x:c r="A283" s="33" t="str">
        <x:v>QA_Messages</x:v>
      </x:c>
      <x:c r="B283" s="33" t="str">
        <x:v>safety_flag</x:v>
      </x:c>
      <x:c r="C283" s="33" t="str">
        <x:v>SAFE</x:v>
      </x:c>
      <x:c r="D283" s="50" t="str">
        <x:v>Allowed value: SAFE</x:v>
      </x:c>
      <x:c r="E283" s="34" t="b">
        <x:v>0</x:v>
      </x:c>
      <x:c r="F283" s="50" t="str">
        <x:v>Use exactly as written in API/database contracts</x:v>
      </x:c>
    </x:row>
    <x:row r="284" ht="24" customHeight="1">
      <x:c r="A284" s="33" t="str">
        <x:v>QA_Messages</x:v>
      </x:c>
      <x:c r="B284" s="33" t="str">
        <x:v>safety_flag</x:v>
      </x:c>
      <x:c r="C284" s="33" t="str">
        <x:v>RESTRICTED_REQUEST</x:v>
      </x:c>
      <x:c r="D284" s="50" t="str">
        <x:v>Allowed value: RESTRICTED_REQUEST</x:v>
      </x:c>
      <x:c r="E284" s="34" t="b">
        <x:v>0</x:v>
      </x:c>
      <x:c r="F284" s="50" t="str">
        <x:v>Use exactly as written in API/database contracts</x:v>
      </x:c>
    </x:row>
    <x:row r="285" ht="24" customHeight="1">
      <x:c r="A285" s="33" t="str">
        <x:v>QA_Messages</x:v>
      </x:c>
      <x:c r="B285" s="33" t="str">
        <x:v>safety_flag</x:v>
      </x:c>
      <x:c r="C285" s="33" t="str">
        <x:v>POLICY_BLOCK</x:v>
      </x:c>
      <x:c r="D285" s="50" t="str">
        <x:v>Allowed value: POLICY_BLOCK</x:v>
      </x:c>
      <x:c r="E285" s="34" t="b">
        <x:v>0</x:v>
      </x:c>
      <x:c r="F285" s="50" t="str">
        <x:v>Use exactly as written in API/database contracts</x:v>
      </x:c>
    </x:row>
    <x:row r="286" ht="24" customHeight="1">
      <x:c r="A286" s="33" t="str">
        <x:v>QA_Messages</x:v>
      </x:c>
      <x:c r="B286" s="33" t="str">
        <x:v>status</x:v>
      </x:c>
      <x:c r="C286" s="33" t="str">
        <x:v>COMPLETED</x:v>
      </x:c>
      <x:c r="D286" s="50" t="str">
        <x:v>Work completed</x:v>
      </x:c>
      <x:c r="E286" s="34" t="b">
        <x:v>1</x:v>
      </x:c>
      <x:c r="F286" s="50" t="str">
        <x:v>Use exactly as written in API/database contracts</x:v>
      </x:c>
    </x:row>
    <x:row r="287" ht="24" customHeight="1">
      <x:c r="A287" s="33" t="str">
        <x:v>QA_Messages</x:v>
      </x:c>
      <x:c r="B287" s="33" t="str">
        <x:v>status</x:v>
      </x:c>
      <x:c r="C287" s="33" t="str">
        <x:v>BLOCKED</x:v>
      </x:c>
      <x:c r="D287" s="50" t="str">
        <x:v>Allowed value: BLOCKED</x:v>
      </x:c>
      <x:c r="E287" s="34" t="b">
        <x:v>0</x:v>
      </x:c>
      <x:c r="F287" s="50" t="str">
        <x:v>Use exactly as written in API/database contracts</x:v>
      </x:c>
    </x:row>
    <x:row r="288" ht="24" customHeight="1">
      <x:c r="A288" s="33" t="str">
        <x:v>QA_Messages</x:v>
      </x:c>
      <x:c r="B288" s="33" t="str">
        <x:v>status</x:v>
      </x:c>
      <x:c r="C288" s="33" t="str">
        <x:v>FAILED</x:v>
      </x:c>
      <x:c r="D288" s="50" t="str">
        <x:v>Failed operation</x:v>
      </x:c>
      <x:c r="E288" s="34" t="b">
        <x:v>0</x:v>
      </x:c>
      <x:c r="F288" s="50" t="str">
        <x:v>Use exactly as written in API/database contracts</x:v>
      </x:c>
    </x:row>
    <x:row r="289" ht="24" customHeight="1">
      <x:c r="A289" s="33" t="str">
        <x:v>QA_Tool_Calls</x:v>
      </x:c>
      <x:c r="B289" s="33" t="str">
        <x:v>outcome</x:v>
      </x:c>
      <x:c r="C289" s="33" t="str">
        <x:v>SUCCESS</x:v>
      </x:c>
      <x:c r="D289" s="50" t="str">
        <x:v>Completed successfully</x:v>
      </x:c>
      <x:c r="E289" s="34" t="b">
        <x:v>0</x:v>
      </x:c>
      <x:c r="F289" s="50" t="str">
        <x:v>Use exactly as written in API/database contracts</x:v>
      </x:c>
    </x:row>
    <x:row r="290" ht="24" customHeight="1">
      <x:c r="A290" s="33" t="str">
        <x:v>QA_Tool_Calls</x:v>
      </x:c>
      <x:c r="B290" s="33" t="str">
        <x:v>outcome</x:v>
      </x:c>
      <x:c r="C290" s="33" t="str">
        <x:v>DENIED</x:v>
      </x:c>
      <x:c r="D290" s="50" t="str">
        <x:v>Allowed value: DENIED</x:v>
      </x:c>
      <x:c r="E290" s="34" t="b">
        <x:v>0</x:v>
      </x:c>
      <x:c r="F290" s="50" t="str">
        <x:v>Use exactly as written in API/database contracts</x:v>
      </x:c>
    </x:row>
    <x:row r="291" ht="24" customHeight="1">
      <x:c r="A291" s="33" t="str">
        <x:v>QA_Tool_Calls</x:v>
      </x:c>
      <x:c r="B291" s="33" t="str">
        <x:v>outcome</x:v>
      </x:c>
      <x:c r="C291" s="33" t="str">
        <x:v>FAILED</x:v>
      </x:c>
      <x:c r="D291" s="50" t="str">
        <x:v>Failed operation</x:v>
      </x:c>
      <x:c r="E291" s="34" t="b">
        <x:v>0</x:v>
      </x:c>
      <x:c r="F291" s="50" t="str">
        <x:v>Use exactly as written in API/database contracts</x:v>
      </x:c>
    </x:row>
    <x:row r="292" ht="24" customHeight="1">
      <x:c r="A292" s="33" t="str">
        <x:v>Integration_Outbox</x:v>
      </x:c>
      <x:c r="B292" s="33" t="str">
        <x:v>status</x:v>
      </x:c>
      <x:c r="C292" s="33" t="str">
        <x:v>PENDING</x:v>
      </x:c>
      <x:c r="D292" s="50" t="str">
        <x:v>Awaiting action</x:v>
      </x:c>
      <x:c r="E292" s="34" t="b">
        <x:v>0</x:v>
      </x:c>
      <x:c r="F292" s="50" t="str">
        <x:v>Use exactly as written in API/database contracts</x:v>
      </x:c>
    </x:row>
    <x:row r="293" ht="24" customHeight="1">
      <x:c r="A293" s="33" t="str">
        <x:v>Integration_Outbox</x:v>
      </x:c>
      <x:c r="B293" s="33" t="str">
        <x:v>status</x:v>
      </x:c>
      <x:c r="C293" s="33" t="str">
        <x:v>PROCESSING</x:v>
      </x:c>
      <x:c r="D293" s="50" t="str">
        <x:v>Allowed value: PROCESSING</x:v>
      </x:c>
      <x:c r="E293" s="34" t="b">
        <x:v>0</x:v>
      </x:c>
      <x:c r="F293" s="50" t="str">
        <x:v>Use exactly as written in API/database contracts</x:v>
      </x:c>
    </x:row>
    <x:row r="294" ht="24" customHeight="1">
      <x:c r="A294" s="33" t="str">
        <x:v>Integration_Outbox</x:v>
      </x:c>
      <x:c r="B294" s="33" t="str">
        <x:v>status</x:v>
      </x:c>
      <x:c r="C294" s="33" t="str">
        <x:v>PROCESSED</x:v>
      </x:c>
      <x:c r="D294" s="50" t="str">
        <x:v>Allowed value: PROCESSED</x:v>
      </x:c>
      <x:c r="E294" s="34" t="b">
        <x:v>0</x:v>
      </x:c>
      <x:c r="F294" s="50" t="str">
        <x:v>Use exactly as written in API/database contracts</x:v>
      </x:c>
    </x:row>
    <x:row r="295" ht="24" customHeight="1">
      <x:c r="A295" s="33" t="str">
        <x:v>Integration_Outbox</x:v>
      </x:c>
      <x:c r="B295" s="33" t="str">
        <x:v>status</x:v>
      </x:c>
      <x:c r="C295" s="33" t="str">
        <x:v>RETRY_SCHEDULED</x:v>
      </x:c>
      <x:c r="D295" s="50" t="str">
        <x:v>Allowed value: RETRY_SCHEDULED</x:v>
      </x:c>
      <x:c r="E295" s="34" t="b">
        <x:v>0</x:v>
      </x:c>
      <x:c r="F295" s="50" t="str">
        <x:v>Use exactly as written in API/database contracts</x:v>
      </x:c>
    </x:row>
    <x:row r="296" ht="24" customHeight="1">
      <x:c r="A296" s="33" t="str">
        <x:v>Integration_Outbox</x:v>
      </x:c>
      <x:c r="B296" s="33" t="str">
        <x:v>status</x:v>
      </x:c>
      <x:c r="C296" s="33" t="str">
        <x:v>DEAD_LETTER</x:v>
      </x:c>
      <x:c r="D296" s="50" t="str">
        <x:v>Allowed value: DEAD_LETTER</x:v>
      </x:c>
      <x:c r="E296" s="34" t="b">
        <x:v>0</x:v>
      </x:c>
      <x:c r="F296" s="50" t="str">
        <x:v>Use exactly as written in API/database contracts</x:v>
      </x:c>
    </x:row>
    <x:row r="297" ht="24" customHeight="1">
      <x:c r="A297" s="33" t="str">
        <x:v>Integration_Outbox</x:v>
      </x:c>
      <x:c r="B297" s="33" t="str">
        <x:v>status</x:v>
      </x:c>
      <x:c r="C297" s="33" t="str">
        <x:v>CANCELLED</x:v>
      </x:c>
      <x:c r="D297" s="50" t="str">
        <x:v>Cancelled and ignored by automation</x:v>
      </x:c>
      <x:c r="E297" s="34" t="b">
        <x:v>1</x:v>
      </x:c>
      <x:c r="F297" s="50" t="str">
        <x:v>Use exactly as written in API/database contracts</x:v>
      </x:c>
    </x:row>
    <x:row r="298" ht="24" customHeight="1">
      <x:c r="A298" s="33" t="str">
        <x:v>Security_Events</x:v>
      </x:c>
      <x:c r="B298" s="33" t="str">
        <x:v>severity</x:v>
      </x:c>
      <x:c r="C298" s="33" t="str">
        <x:v>INFO</x:v>
      </x:c>
      <x:c r="D298" s="50" t="str">
        <x:v>Allowed value: INFO</x:v>
      </x:c>
      <x:c r="E298" s="34" t="b">
        <x:v>0</x:v>
      </x:c>
      <x:c r="F298" s="50" t="str">
        <x:v>Use exactly as written in API/database contracts</x:v>
      </x:c>
    </x:row>
    <x:row r="299" ht="24" customHeight="1">
      <x:c r="A299" s="33" t="str">
        <x:v>Security_Events</x:v>
      </x:c>
      <x:c r="B299" s="33" t="str">
        <x:v>severity</x:v>
      </x:c>
      <x:c r="C299" s="33" t="str">
        <x:v>LOW</x:v>
      </x:c>
      <x:c r="D299" s="50" t="str">
        <x:v>Low priority</x:v>
      </x:c>
      <x:c r="E299" s="34" t="b">
        <x:v>0</x:v>
      </x:c>
      <x:c r="F299" s="50" t="str">
        <x:v>Use exactly as written in API/database contracts</x:v>
      </x:c>
    </x:row>
    <x:row r="300" ht="24" customHeight="1">
      <x:c r="A300" s="33" t="str">
        <x:v>Security_Events</x:v>
      </x:c>
      <x:c r="B300" s="33" t="str">
        <x:v>severity</x:v>
      </x:c>
      <x:c r="C300" s="33" t="str">
        <x:v>MEDIUM</x:v>
      </x:c>
      <x:c r="D300" s="50" t="str">
        <x:v>Moderate priority</x:v>
      </x:c>
      <x:c r="E300" s="34" t="b">
        <x:v>0</x:v>
      </x:c>
      <x:c r="F300" s="50" t="str">
        <x:v>Use exactly as written in API/database contracts</x:v>
      </x:c>
    </x:row>
    <x:row r="301" ht="24" customHeight="1">
      <x:c r="A301" s="33" t="str">
        <x:v>Security_Events</x:v>
      </x:c>
      <x:c r="B301" s="33" t="str">
        <x:v>severity</x:v>
      </x:c>
      <x:c r="C301" s="33" t="str">
        <x:v>HIGH</x:v>
      </x:c>
      <x:c r="D301" s="50" t="str">
        <x:v>High priority or severity</x:v>
      </x:c>
      <x:c r="E301" s="34" t="b">
        <x:v>0</x:v>
      </x:c>
      <x:c r="F301" s="50" t="str">
        <x:v>Use exactly as written in API/database contracts</x:v>
      </x:c>
    </x:row>
    <x:row r="302" ht="24" customHeight="1">
      <x:c r="A302" s="33" t="str">
        <x:v>Security_Events</x:v>
      </x:c>
      <x:c r="B302" s="33" t="str">
        <x:v>severity</x:v>
      </x:c>
      <x:c r="C302" s="33" t="str">
        <x:v>CRITICAL</x:v>
      </x:c>
      <x:c r="D302" s="50" t="str">
        <x:v>Immediate/highest concern</x:v>
      </x:c>
      <x:c r="E302" s="34" t="b">
        <x:v>0</x:v>
      </x:c>
      <x:c r="F302" s="50" t="str">
        <x:v>Use exactly as written in API/database contracts</x:v>
      </x:c>
    </x:row>
    <x:row r="303" ht="24" customHeight="1">
      <x:c r="A303" s="33" t="str">
        <x:v>Security_Events</x:v>
      </x:c>
      <x:c r="B303" s="33" t="str">
        <x:v>status</x:v>
      </x:c>
      <x:c r="C303" s="33" t="str">
        <x:v>NEW</x:v>
      </x:c>
      <x:c r="D303" s="50" t="str">
        <x:v>Allowed value: NEW</x:v>
      </x:c>
      <x:c r="E303" s="34" t="b">
        <x:v>0</x:v>
      </x:c>
      <x:c r="F303" s="50" t="str">
        <x:v>Use exactly as written in API/database contracts</x:v>
      </x:c>
    </x:row>
    <x:row r="304" ht="24" customHeight="1">
      <x:c r="A304" s="33" t="str">
        <x:v>Security_Events</x:v>
      </x:c>
      <x:c r="B304" s="33" t="str">
        <x:v>status</x:v>
      </x:c>
      <x:c r="C304" s="33" t="str">
        <x:v>INVESTIGATING</x:v>
      </x:c>
      <x:c r="D304" s="50" t="str">
        <x:v>Allowed value: INVESTIGATING</x:v>
      </x:c>
      <x:c r="E304" s="34" t="b">
        <x:v>0</x:v>
      </x:c>
      <x:c r="F304" s="50" t="str">
        <x:v>Use exactly as written in API/database contracts</x:v>
      </x:c>
    </x:row>
    <x:row r="305" ht="24" customHeight="1">
      <x:c r="A305" s="33" t="str">
        <x:v>Security_Events</x:v>
      </x:c>
      <x:c r="B305" s="33" t="str">
        <x:v>status</x:v>
      </x:c>
      <x:c r="C305" s="33" t="str">
        <x:v>MITIGATED</x:v>
      </x:c>
      <x:c r="D305" s="50" t="str">
        <x:v>Allowed value: MITIGATED</x:v>
      </x:c>
      <x:c r="E305" s="34" t="b">
        <x:v>0</x:v>
      </x:c>
      <x:c r="F305" s="50" t="str">
        <x:v>Use exactly as written in API/database contracts</x:v>
      </x:c>
    </x:row>
    <x:row r="306" ht="24" customHeight="1">
      <x:c r="A306" s="33" t="str">
        <x:v>Security_Events</x:v>
      </x:c>
      <x:c r="B306" s="33" t="str">
        <x:v>status</x:v>
      </x:c>
      <x:c r="C306" s="33" t="str">
        <x:v>APPROVED</x:v>
      </x:c>
      <x:c r="D306" s="50" t="str">
        <x:v>Allowed value: APPROVED</x:v>
      </x:c>
      <x:c r="E306" s="34" t="b">
        <x:v>0</x:v>
      </x:c>
      <x:c r="F306" s="50" t="str">
        <x:v>Use exactly as written in API/database contracts</x:v>
      </x:c>
    </x:row>
    <x:row r="307" ht="24" customHeight="1">
      <x:c r="A307" s="33" t="str">
        <x:v>Security_Events</x:v>
      </x:c>
      <x:c r="B307" s="33" t="str">
        <x:v>status</x:v>
      </x:c>
      <x:c r="C307" s="33" t="str">
        <x:v>CLOSED</x:v>
      </x:c>
      <x:c r="D307" s="50" t="str">
        <x:v>Final closed state</x:v>
      </x:c>
      <x:c r="E307" s="34" t="b">
        <x:v>1</x:v>
      </x:c>
      <x:c r="F307" s="50" t="str">
        <x:v>Use exactly as written in API/database contracts</x:v>
      </x:c>
    </x:row>
    <x:row r="308" ht="24" customHeight="1">
      <x:c r="A308" s="33" t="str">
        <x:v>Automation_Actions</x:v>
      </x:c>
      <x:c r="B308" s="33" t="str">
        <x:v>outcome</x:v>
      </x:c>
      <x:c r="C308" s="33" t="str">
        <x:v>SUCCESS</x:v>
      </x:c>
      <x:c r="D308" s="50" t="str">
        <x:v>Completed successfully</x:v>
      </x:c>
      <x:c r="E308" s="34" t="b">
        <x:v>0</x:v>
      </x:c>
      <x:c r="F308" s="50" t="str">
        <x:v>Use exactly as written in API/database contracts</x:v>
      </x:c>
    </x:row>
    <x:row r="309" ht="24" customHeight="1">
      <x:c r="A309" s="33" t="str">
        <x:v>Automation_Actions</x:v>
      </x:c>
      <x:c r="B309" s="33" t="str">
        <x:v>outcome</x:v>
      </x:c>
      <x:c r="C309" s="33" t="str">
        <x:v>RETRY_SCHEDULED</x:v>
      </x:c>
      <x:c r="D309" s="50" t="str">
        <x:v>Allowed value: RETRY_SCHEDULED</x:v>
      </x:c>
      <x:c r="E309" s="34" t="b">
        <x:v>0</x:v>
      </x:c>
      <x:c r="F309" s="50" t="str">
        <x:v>Use exactly as written in API/database contracts</x:v>
      </x:c>
    </x:row>
    <x:row r="310" ht="24" customHeight="1">
      <x:c r="A310" s="33" t="str">
        <x:v>Automation_Actions</x:v>
      </x:c>
      <x:c r="B310" s="33" t="str">
        <x:v>outcome</x:v>
      </x:c>
      <x:c r="C310" s="33" t="str">
        <x:v>FAILED</x:v>
      </x:c>
      <x:c r="D310" s="50" t="str">
        <x:v>Failed operation</x:v>
      </x:c>
      <x:c r="E310" s="34" t="b">
        <x:v>0</x:v>
      </x:c>
      <x:c r="F310" s="50" t="str">
        <x:v>Use exactly as written in API/database contracts</x:v>
      </x:c>
    </x:row>
    <x:row r="311" ht="24" customHeight="1">
      <x:c r="A311" s="33" t="str">
        <x:v>Automation_Actions</x:v>
      </x:c>
      <x:c r="B311" s="33" t="str">
        <x:v>outcome</x:v>
      </x:c>
      <x:c r="C311" s="33" t="str">
        <x:v>DENIED</x:v>
      </x:c>
      <x:c r="D311" s="50" t="str">
        <x:v>Allowed value: DENIED</x:v>
      </x:c>
      <x:c r="E311" s="34" t="b">
        <x:v>0</x:v>
      </x:c>
      <x:c r="F311" s="50" t="str">
        <x:v>Use exactly as written in API/database contracts</x:v>
      </x:c>
    </x:row>
    <x:row r="312" ht="24" customHeight="1">
      <x:c r="A312" s="33" t="str">
        <x:v>Data_Dictionary</x:v>
      </x:c>
      <x:c r="B312" s="33" t="str">
        <x:v>sensitivity</x:v>
      </x:c>
      <x:c r="C312" s="33" t="str">
        <x:v>INTERNAL_SAMPLE</x:v>
      </x:c>
      <x:c r="D312" s="50" t="str">
        <x:v>Data classification: INTERNAL_SAMPLE</x:v>
      </x:c>
      <x:c r="E312" s="34" t="b">
        <x:v>0</x:v>
      </x:c>
      <x:c r="F312" s="50" t="str">
        <x:v>Apply least-privilege access and do not replace synthetic rows with real personal data in the demo</x:v>
      </x:c>
    </x:row>
    <x:row r="313" ht="24" customHeight="1">
      <x:c r="A313" s="33" t="str">
        <x:v>Data_Dictionary</x:v>
      </x:c>
      <x:c r="B313" s="33" t="str">
        <x:v>sensitivity</x:v>
      </x:c>
      <x:c r="C313" s="33" t="str">
        <x:v>CONFIDENTIAL_SECURITY</x:v>
      </x:c>
      <x:c r="D313" s="50" t="str">
        <x:v>Data classification: CONFIDENTIAL_SECURITY</x:v>
      </x:c>
      <x:c r="E313" s="34" t="b">
        <x:v>0</x:v>
      </x:c>
      <x:c r="F313" s="50" t="str">
        <x:v>Apply least-privilege access and do not replace synthetic rows with real personal data in the demo</x:v>
      </x:c>
    </x:row>
    <x:row r="314" ht="24" customHeight="1">
      <x:c r="A314" s="35" t="str">
        <x:v>Data_Dictionary</x:v>
      </x:c>
      <x:c r="B314" s="35" t="str">
        <x:v>sensitivity</x:v>
      </x:c>
      <x:c r="C314" s="35" t="str">
        <x:v>RESTRICTED_MEDICAL</x:v>
      </x:c>
      <x:c r="D314" s="51" t="str">
        <x:v>Data classification: RESTRICTED_MEDICAL</x:v>
      </x:c>
      <x:c r="E314" s="36" t="b">
        <x:v>0</x:v>
      </x:c>
      <x:c r="F314" s="51" t="str">
        <x:v>Apply least-privilege access and do not replace synthetic rows with real personal data in the demo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4c274d4ceb64b3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2" customHeight="1">
      <x:c r="A1" s="17" t="str">
        <x:v>ESCA HSE | Relationships</x:v>
      </x:c>
      <x:c r="B1" s="17" t="str">
        <x:v>ESCA HSE | Relationships</x:v>
      </x:c>
      <x:c r="C1" s="17" t="str">
        <x:v>ESCA HSE | Relationships</x:v>
      </x:c>
      <x:c r="D1" s="17" t="str">
        <x:v>ESCA HSE | Relationships</x:v>
      </x:c>
      <x:c r="E1" s="17" t="str">
        <x:v>ESCA HSE | Relationships</x:v>
      </x:c>
      <x:c r="F1" s="17" t="str">
        <x:v>ESCA HSE | Relationships</x:v>
      </x:c>
      <x:c r="G1" s="17" t="str">
        <x:v>ESCA HSE | Relationships</x:v>
      </x:c>
    </x:row>
    <x:row r="2" ht="28" customHeight="1">
      <x:c r="A2" s="21" t="str">
        <x:v>Cross-workbook entity relationships | Owner: Whole team | Synthetic sample data | Snapshot: 2026-08-13</x:v>
      </x:c>
      <x:c r="B2" s="21" t="str">
        <x:v>Cross-workbook entity relationships | Owner: Whole team | Synthetic sample data | Snapshot: 2026-08-13</x:v>
      </x:c>
      <x:c r="C2" s="21" t="str">
        <x:v>Cross-workbook entity relationships | Owner: Whole team | Synthetic sample data | Snapshot: 2026-08-13</x:v>
      </x:c>
      <x:c r="D2" s="21" t="str">
        <x:v>Cross-workbook entity relationships | Owner: Whole team | Synthetic sample data | Snapshot: 2026-08-13</x:v>
      </x:c>
      <x:c r="E2" s="21" t="str">
        <x:v>Cross-workbook entity relationships | Owner: Whole team | Synthetic sample data | Snapshot: 2026-08-13</x:v>
      </x:c>
      <x:c r="F2" s="21" t="str">
        <x:v>Cross-workbook entity relationships | Owner: Whole team | Synthetic sample data | Snapshot: 2026-08-13</x:v>
      </x:c>
      <x:c r="G2" s="21" t="str">
        <x:v>Cross-workbook entity relationships | Owner: Whole team | Synthetic sample data | Snapshot: 2026-08-13</x:v>
      </x:c>
    </x:row>
    <x:row r="4" ht="30" customHeight="1">
      <x:c r="A4" s="26" t="str">
        <x:v>relationship_id</x:v>
      </x:c>
      <x:c r="B4" s="26" t="str">
        <x:v>parent_sheet</x:v>
      </x:c>
      <x:c r="C4" s="26" t="str">
        <x:v>parent_key</x:v>
      </x:c>
      <x:c r="D4" s="26" t="str">
        <x:v>child_sheet</x:v>
      </x:c>
      <x:c r="E4" s="26" t="str">
        <x:v>child_key</x:v>
      </x:c>
      <x:c r="F4" s="26" t="str">
        <x:v>cardinality</x:v>
      </x:c>
      <x:c r="G4" s="26" t="str">
        <x:v>notes</x:v>
      </x:c>
    </x:row>
    <x:row r="5" ht="24" customHeight="1">
      <x:c r="A5" s="31" t="str">
        <x:v>REL-001</x:v>
      </x:c>
      <x:c r="B5" s="31" t="str">
        <x:v>Departments</x:v>
      </x:c>
      <x:c r="C5" s="31" t="str">
        <x:v>department_id</x:v>
      </x:c>
      <x:c r="D5" s="31" t="str">
        <x:v>Zones</x:v>
      </x:c>
      <x:c r="E5" s="31" t="str">
        <x:v>department_id</x:v>
      </x:c>
      <x:c r="F5" s="31" t="str">
        <x:v>1:M</x:v>
      </x:c>
      <x:c r="G5" s="49" t="str">
        <x:v>Foreign-key relationship across package workbooks</x:v>
      </x:c>
    </x:row>
    <x:row r="6" ht="24" customHeight="1">
      <x:c r="A6" s="33" t="str">
        <x:v>REL-002</x:v>
      </x:c>
      <x:c r="B6" s="33" t="str">
        <x:v>Departments</x:v>
      </x:c>
      <x:c r="C6" s="33" t="str">
        <x:v>department_id</x:v>
      </x:c>
      <x:c r="D6" s="33" t="str">
        <x:v>Employees</x:v>
      </x:c>
      <x:c r="E6" s="33" t="str">
        <x:v>department_id</x:v>
      </x:c>
      <x:c r="F6" s="33" t="str">
        <x:v>1:M</x:v>
      </x:c>
      <x:c r="G6" s="50" t="str">
        <x:v>Foreign-key relationship across package workbooks</x:v>
      </x:c>
    </x:row>
    <x:row r="7" ht="24" customHeight="1">
      <x:c r="A7" s="33" t="str">
        <x:v>REL-003</x:v>
      </x:c>
      <x:c r="B7" s="33" t="str">
        <x:v>Zones</x:v>
      </x:c>
      <x:c r="C7" s="33" t="str">
        <x:v>zone_id</x:v>
      </x:c>
      <x:c r="D7" s="33" t="str">
        <x:v>Employees</x:v>
      </x:c>
      <x:c r="E7" s="33" t="str">
        <x:v>zone_id</x:v>
      </x:c>
      <x:c r="F7" s="33" t="str">
        <x:v>1:M</x:v>
      </x:c>
      <x:c r="G7" s="50" t="str">
        <x:v>Foreign-key relationship across package workbooks</x:v>
      </x:c>
    </x:row>
    <x:row r="8" ht="24" customHeight="1">
      <x:c r="A8" s="33" t="str">
        <x:v>REL-004</x:v>
      </x:c>
      <x:c r="B8" s="33" t="str">
        <x:v>Employees</x:v>
      </x:c>
      <x:c r="C8" s="33" t="str">
        <x:v>employee_id</x:v>
      </x:c>
      <x:c r="D8" s="33" t="str">
        <x:v>Users</x:v>
      </x:c>
      <x:c r="E8" s="33" t="str">
        <x:v>employee_id</x:v>
      </x:c>
      <x:c r="F8" s="33" t="str">
        <x:v>1:0..1</x:v>
      </x:c>
      <x:c r="G8" s="50" t="str">
        <x:v>Foreign-key relationship across package workbooks</x:v>
      </x:c>
    </x:row>
    <x:row r="9" ht="24" customHeight="1">
      <x:c r="A9" s="33" t="str">
        <x:v>REL-005</x:v>
      </x:c>
      <x:c r="B9" s="33" t="str">
        <x:v>Users</x:v>
      </x:c>
      <x:c r="C9" s="33" t="str">
        <x:v>user_id</x:v>
      </x:c>
      <x:c r="D9" s="33" t="str">
        <x:v>User_Roles</x:v>
      </x:c>
      <x:c r="E9" s="33" t="str">
        <x:v>user_id</x:v>
      </x:c>
      <x:c r="F9" s="33" t="str">
        <x:v>1:M</x:v>
      </x:c>
      <x:c r="G9" s="50" t="str">
        <x:v>Foreign-key relationship across package workbooks</x:v>
      </x:c>
    </x:row>
    <x:row r="10" ht="24" customHeight="1">
      <x:c r="A10" s="33" t="str">
        <x:v>REL-006</x:v>
      </x:c>
      <x:c r="B10" s="33" t="str">
        <x:v>Roles</x:v>
      </x:c>
      <x:c r="C10" s="33" t="str">
        <x:v>role_id</x:v>
      </x:c>
      <x:c r="D10" s="33" t="str">
        <x:v>User_Roles</x:v>
      </x:c>
      <x:c r="E10" s="33" t="str">
        <x:v>role_id</x:v>
      </x:c>
      <x:c r="F10" s="33" t="str">
        <x:v>1:M</x:v>
      </x:c>
      <x:c r="G10" s="50" t="str">
        <x:v>Foreign-key relationship across package workbooks</x:v>
      </x:c>
    </x:row>
    <x:row r="11" ht="24" customHeight="1">
      <x:c r="A11" s="33" t="str">
        <x:v>REL-007</x:v>
      </x:c>
      <x:c r="B11" s="33" t="str">
        <x:v>Roles</x:v>
      </x:c>
      <x:c r="C11" s="33" t="str">
        <x:v>role_id</x:v>
      </x:c>
      <x:c r="D11" s="33" t="str">
        <x:v>RBAC_Matrix</x:v>
      </x:c>
      <x:c r="E11" s="33" t="str">
        <x:v>role_id</x:v>
      </x:c>
      <x:c r="F11" s="33" t="str">
        <x:v>1:1</x:v>
      </x:c>
      <x:c r="G11" s="50" t="str">
        <x:v>Foreign-key relationship across package workbooks</x:v>
      </x:c>
    </x:row>
    <x:row r="12" ht="24" customHeight="1">
      <x:c r="A12" s="33" t="str">
        <x:v>REL-008</x:v>
      </x:c>
      <x:c r="B12" s="33" t="str">
        <x:v>Departments</x:v>
      </x:c>
      <x:c r="C12" s="33" t="str">
        <x:v>department_id</x:v>
      </x:c>
      <x:c r="D12" s="33" t="str">
        <x:v>Incidents</x:v>
      </x:c>
      <x:c r="E12" s="33" t="str">
        <x:v>department_id</x:v>
      </x:c>
      <x:c r="F12" s="33" t="str">
        <x:v>1:M</x:v>
      </x:c>
      <x:c r="G12" s="50" t="str">
        <x:v>Foreign-key relationship across package workbooks</x:v>
      </x:c>
    </x:row>
    <x:row r="13" ht="24" customHeight="1">
      <x:c r="A13" s="33" t="str">
        <x:v>REL-009</x:v>
      </x:c>
      <x:c r="B13" s="33" t="str">
        <x:v>Zones</x:v>
      </x:c>
      <x:c r="C13" s="33" t="str">
        <x:v>zone_id</x:v>
      </x:c>
      <x:c r="D13" s="33" t="str">
        <x:v>Incidents</x:v>
      </x:c>
      <x:c r="E13" s="33" t="str">
        <x:v>zone_id</x:v>
      </x:c>
      <x:c r="F13" s="33" t="str">
        <x:v>1:M</x:v>
      </x:c>
      <x:c r="G13" s="50" t="str">
        <x:v>Foreign-key relationship across package workbooks</x:v>
      </x:c>
    </x:row>
    <x:row r="14" ht="24" customHeight="1">
      <x:c r="A14" s="33" t="str">
        <x:v>REL-010</x:v>
      </x:c>
      <x:c r="B14" s="33" t="str">
        <x:v>Employees</x:v>
      </x:c>
      <x:c r="C14" s="33" t="str">
        <x:v>employee_id</x:v>
      </x:c>
      <x:c r="D14" s="33" t="str">
        <x:v>Incidents</x:v>
      </x:c>
      <x:c r="E14" s="33" t="str">
        <x:v>reported_by</x:v>
      </x:c>
      <x:c r="F14" s="33" t="str">
        <x:v>1:M</x:v>
      </x:c>
      <x:c r="G14" s="50" t="str">
        <x:v>Foreign-key relationship across package workbooks</x:v>
      </x:c>
    </x:row>
    <x:row r="15" ht="24" customHeight="1">
      <x:c r="A15" s="33" t="str">
        <x:v>REL-011</x:v>
      </x:c>
      <x:c r="B15" s="33" t="str">
        <x:v>Incidents</x:v>
      </x:c>
      <x:c r="C15" s="33" t="str">
        <x:v>incident_id</x:v>
      </x:c>
      <x:c r="D15" s="33" t="str">
        <x:v>CAPA</x:v>
      </x:c>
      <x:c r="E15" s="33" t="str">
        <x:v>incident_id</x:v>
      </x:c>
      <x:c r="F15" s="33" t="str">
        <x:v>1:M</x:v>
      </x:c>
      <x:c r="G15" s="50" t="str">
        <x:v>Foreign-key relationship across package workbooks</x:v>
      </x:c>
    </x:row>
    <x:row r="16" ht="24" customHeight="1">
      <x:c r="A16" s="33" t="str">
        <x:v>REL-012</x:v>
      </x:c>
      <x:c r="B16" s="33" t="str">
        <x:v>Incidents</x:v>
      </x:c>
      <x:c r="C16" s="33" t="str">
        <x:v>incident_id</x:v>
      </x:c>
      <x:c r="D16" s="33" t="str">
        <x:v>Incident_RCA</x:v>
      </x:c>
      <x:c r="E16" s="33" t="str">
        <x:v>incident_id</x:v>
      </x:c>
      <x:c r="F16" s="33" t="str">
        <x:v>1:M</x:v>
      </x:c>
      <x:c r="G16" s="50" t="str">
        <x:v>Foreign-key relationship across package workbooks</x:v>
      </x:c>
    </x:row>
    <x:row r="17" ht="24" customHeight="1">
      <x:c r="A17" s="33" t="str">
        <x:v>REL-013</x:v>
      </x:c>
      <x:c r="B17" s="33" t="str">
        <x:v>Inspections</x:v>
      </x:c>
      <x:c r="C17" s="33" t="str">
        <x:v>inspection_id</x:v>
      </x:c>
      <x:c r="D17" s="33" t="str">
        <x:v>Findings</x:v>
      </x:c>
      <x:c r="E17" s="33" t="str">
        <x:v>inspection_id</x:v>
      </x:c>
      <x:c r="F17" s="33" t="str">
        <x:v>1:M</x:v>
      </x:c>
      <x:c r="G17" s="50" t="str">
        <x:v>Foreign-key relationship across package workbooks</x:v>
      </x:c>
    </x:row>
    <x:row r="18" ht="24" customHeight="1">
      <x:c r="A18" s="33" t="str">
        <x:v>REL-014</x:v>
      </x:c>
      <x:c r="B18" s="33" t="str">
        <x:v>Inspections</x:v>
      </x:c>
      <x:c r="C18" s="33" t="str">
        <x:v>inspection_id</x:v>
      </x:c>
      <x:c r="D18" s="33" t="str">
        <x:v>Inspection_Responses</x:v>
      </x:c>
      <x:c r="E18" s="33" t="str">
        <x:v>inspection_id</x:v>
      </x:c>
      <x:c r="F18" s="33" t="str">
        <x:v>1:M</x:v>
      </x:c>
      <x:c r="G18" s="50" t="str">
        <x:v>Foreign-key relationship across package workbooks</x:v>
      </x:c>
    </x:row>
    <x:row r="19" ht="24" customHeight="1">
      <x:c r="A19" s="33" t="str">
        <x:v>REL-015</x:v>
      </x:c>
      <x:c r="B19" s="33" t="str">
        <x:v>Findings</x:v>
      </x:c>
      <x:c r="C19" s="33" t="str">
        <x:v>finding_id</x:v>
      </x:c>
      <x:c r="D19" s="33" t="str">
        <x:v>CAPA</x:v>
      </x:c>
      <x:c r="E19" s="33" t="str">
        <x:v>finding_id</x:v>
      </x:c>
      <x:c r="F19" s="33" t="str">
        <x:v>1:0..M</x:v>
      </x:c>
      <x:c r="G19" s="50" t="str">
        <x:v>Foreign-key relationship across package workbooks</x:v>
      </x:c>
    </x:row>
    <x:row r="20" ht="24" customHeight="1">
      <x:c r="A20" s="33" t="str">
        <x:v>REL-016</x:v>
      </x:c>
      <x:c r="B20" s="33" t="str">
        <x:v>Departments</x:v>
      </x:c>
      <x:c r="C20" s="33" t="str">
        <x:v>department_id</x:v>
      </x:c>
      <x:c r="D20" s="33" t="str">
        <x:v>Risk_Register</x:v>
      </x:c>
      <x:c r="E20" s="33" t="str">
        <x:v>department_id</x:v>
      </x:c>
      <x:c r="F20" s="33" t="str">
        <x:v>1:M</x:v>
      </x:c>
      <x:c r="G20" s="50" t="str">
        <x:v>Foreign-key relationship across package workbooks</x:v>
      </x:c>
    </x:row>
    <x:row r="21" ht="24" customHeight="1">
      <x:c r="A21" s="33" t="str">
        <x:v>REL-017</x:v>
      </x:c>
      <x:c r="B21" s="33" t="str">
        <x:v>JSA</x:v>
      </x:c>
      <x:c r="C21" s="33" t="str">
        <x:v>jsa_id</x:v>
      </x:c>
      <x:c r="D21" s="33" t="str">
        <x:v>JSA_Steps</x:v>
      </x:c>
      <x:c r="E21" s="33" t="str">
        <x:v>jsa_id</x:v>
      </x:c>
      <x:c r="F21" s="33" t="str">
        <x:v>1:M</x:v>
      </x:c>
      <x:c r="G21" s="50" t="str">
        <x:v>Foreign-key relationship across package workbooks</x:v>
      </x:c>
    </x:row>
    <x:row r="22" ht="24" customHeight="1">
      <x:c r="A22" s="33" t="str">
        <x:v>REL-018</x:v>
      </x:c>
      <x:c r="B22" s="33" t="str">
        <x:v>JSA</x:v>
      </x:c>
      <x:c r="C22" s="33" t="str">
        <x:v>jsa_id</x:v>
      </x:c>
      <x:c r="D22" s="33" t="str">
        <x:v>Permits</x:v>
      </x:c>
      <x:c r="E22" s="33" t="str">
        <x:v>jsa_id</x:v>
      </x:c>
      <x:c r="F22" s="33" t="str">
        <x:v>1:M</x:v>
      </x:c>
      <x:c r="G22" s="50" t="str">
        <x:v>Foreign-key relationship across package workbooks</x:v>
      </x:c>
    </x:row>
    <x:row r="23" ht="24" customHeight="1">
      <x:c r="A23" s="33" t="str">
        <x:v>REL-019</x:v>
      </x:c>
      <x:c r="B23" s="33" t="str">
        <x:v>Permits</x:v>
      </x:c>
      <x:c r="C23" s="33" t="str">
        <x:v>permit_id</x:v>
      </x:c>
      <x:c r="D23" s="33" t="str">
        <x:v>Permit_Approvals</x:v>
      </x:c>
      <x:c r="E23" s="33" t="str">
        <x:v>permit_id</x:v>
      </x:c>
      <x:c r="F23" s="33" t="str">
        <x:v>1:M</x:v>
      </x:c>
      <x:c r="G23" s="50" t="str">
        <x:v>Foreign-key relationship across package workbooks</x:v>
      </x:c>
    </x:row>
    <x:row r="24" ht="24" customHeight="1">
      <x:c r="A24" s="33" t="str">
        <x:v>REL-020</x:v>
      </x:c>
      <x:c r="B24" s="33" t="str">
        <x:v>Permits</x:v>
      </x:c>
      <x:c r="C24" s="33" t="str">
        <x:v>permit_id</x:v>
      </x:c>
      <x:c r="D24" s="33" t="str">
        <x:v>Permit_Checklist</x:v>
      </x:c>
      <x:c r="E24" s="33" t="str">
        <x:v>permit_id</x:v>
      </x:c>
      <x:c r="F24" s="33" t="str">
        <x:v>1:M</x:v>
      </x:c>
      <x:c r="G24" s="50" t="str">
        <x:v>Foreign-key relationship across package workbooks</x:v>
      </x:c>
    </x:row>
    <x:row r="25" ht="24" customHeight="1">
      <x:c r="A25" s="33" t="str">
        <x:v>REL-021</x:v>
      </x:c>
      <x:c r="B25" s="33" t="str">
        <x:v>Permits</x:v>
      </x:c>
      <x:c r="C25" s="33" t="str">
        <x:v>permit_id</x:v>
      </x:c>
      <x:c r="D25" s="33" t="str">
        <x:v>Permit_Gas_Tests</x:v>
      </x:c>
      <x:c r="E25" s="33" t="str">
        <x:v>permit_id</x:v>
      </x:c>
      <x:c r="F25" s="33" t="str">
        <x:v>1:M</x:v>
      </x:c>
      <x:c r="G25" s="50" t="str">
        <x:v>Foreign-key relationship across package workbooks</x:v>
      </x:c>
    </x:row>
    <x:row r="26" ht="24" customHeight="1">
      <x:c r="A26" s="33" t="str">
        <x:v>REL-022</x:v>
      </x:c>
      <x:c r="B26" s="33" t="str">
        <x:v>Permits</x:v>
      </x:c>
      <x:c r="C26" s="33" t="str">
        <x:v>permit_id</x:v>
      </x:c>
      <x:c r="D26" s="33" t="str">
        <x:v>SIMOPS</x:v>
      </x:c>
      <x:c r="E26" s="33" t="str">
        <x:v>permit_a_id</x:v>
      </x:c>
      <x:c r="F26" s="33" t="str">
        <x:v>1:M</x:v>
      </x:c>
      <x:c r="G26" s="50" t="str">
        <x:v>Foreign-key relationship across package workbooks</x:v>
      </x:c>
    </x:row>
    <x:row r="27" ht="24" customHeight="1">
      <x:c r="A27" s="33" t="str">
        <x:v>REL-023</x:v>
      </x:c>
      <x:c r="B27" s="33" t="str">
        <x:v>Permits</x:v>
      </x:c>
      <x:c r="C27" s="33" t="str">
        <x:v>permit_id</x:v>
      </x:c>
      <x:c r="D27" s="33" t="str">
        <x:v>SIMOPS</x:v>
      </x:c>
      <x:c r="E27" s="33" t="str">
        <x:v>permit_b_id</x:v>
      </x:c>
      <x:c r="F27" s="33" t="str">
        <x:v>1:M</x:v>
      </x:c>
      <x:c r="G27" s="50" t="str">
        <x:v>Foreign-key relationship across package workbooks</x:v>
      </x:c>
    </x:row>
    <x:row r="28" ht="24" customHeight="1">
      <x:c r="A28" s="33" t="str">
        <x:v>REL-024</x:v>
      </x:c>
      <x:c r="B28" s="33" t="str">
        <x:v>Report_Definitions</x:v>
      </x:c>
      <x:c r="C28" s="33" t="str">
        <x:v>report_id</x:v>
      </x:c>
      <x:c r="D28" s="33" t="str">
        <x:v>Report_Runs</x:v>
      </x:c>
      <x:c r="E28" s="33" t="str">
        <x:v>report_id</x:v>
      </x:c>
      <x:c r="F28" s="33" t="str">
        <x:v>1:M</x:v>
      </x:c>
      <x:c r="G28" s="50" t="str">
        <x:v>Foreign-key relationship across package workbooks</x:v>
      </x:c>
    </x:row>
    <x:row r="29" ht="24" customHeight="1">
      <x:c r="A29" s="33" t="str">
        <x:v>REL-025</x:v>
      </x:c>
      <x:c r="B29" s="33" t="str">
        <x:v>Employees</x:v>
      </x:c>
      <x:c r="C29" s="33" t="str">
        <x:v>employee_id</x:v>
      </x:c>
      <x:c r="D29" s="33" t="str">
        <x:v>Certificates</x:v>
      </x:c>
      <x:c r="E29" s="33" t="str">
        <x:v>employee_id</x:v>
      </x:c>
      <x:c r="F29" s="33" t="str">
        <x:v>1:M</x:v>
      </x:c>
      <x:c r="G29" s="50" t="str">
        <x:v>Foreign-key relationship across package workbooks</x:v>
      </x:c>
    </x:row>
    <x:row r="30" ht="24" customHeight="1">
      <x:c r="A30" s="33" t="str">
        <x:v>REL-026</x:v>
      </x:c>
      <x:c r="B30" s="33" t="str">
        <x:v>Training_Courses</x:v>
      </x:c>
      <x:c r="C30" s="33" t="str">
        <x:v>course_id</x:v>
      </x:c>
      <x:c r="D30" s="33" t="str">
        <x:v>Certificates</x:v>
      </x:c>
      <x:c r="E30" s="33" t="str">
        <x:v>course_id</x:v>
      </x:c>
      <x:c r="F30" s="33" t="str">
        <x:v>1:M</x:v>
      </x:c>
      <x:c r="G30" s="50" t="str">
        <x:v>Foreign-key relationship across package workbooks</x:v>
      </x:c>
    </x:row>
    <x:row r="31" ht="24" customHeight="1">
      <x:c r="A31" s="33" t="str">
        <x:v>REL-027</x:v>
      </x:c>
      <x:c r="B31" s="33" t="str">
        <x:v>Training_Courses</x:v>
      </x:c>
      <x:c r="C31" s="33" t="str">
        <x:v>course_id</x:v>
      </x:c>
      <x:c r="D31" s="33" t="str">
        <x:v>Training_Requirements</x:v>
      </x:c>
      <x:c r="E31" s="33" t="str">
        <x:v>course_id</x:v>
      </x:c>
      <x:c r="F31" s="33" t="str">
        <x:v>1:M</x:v>
      </x:c>
      <x:c r="G31" s="50" t="str">
        <x:v>Foreign-key relationship across package workbooks</x:v>
      </x:c>
    </x:row>
    <x:row r="32" ht="24" customHeight="1">
      <x:c r="A32" s="33" t="str">
        <x:v>REL-028</x:v>
      </x:c>
      <x:c r="B32" s="33" t="str">
        <x:v>Zones</x:v>
      </x:c>
      <x:c r="C32" s="33" t="str">
        <x:v>zone_id</x:v>
      </x:c>
      <x:c r="D32" s="33" t="str">
        <x:v>PPE_Matrix</x:v>
      </x:c>
      <x:c r="E32" s="33" t="str">
        <x:v>zone_id</x:v>
      </x:c>
      <x:c r="F32" s="33" t="str">
        <x:v>1:M</x:v>
      </x:c>
      <x:c r="G32" s="50" t="str">
        <x:v>Foreign-key relationship across package workbooks</x:v>
      </x:c>
    </x:row>
    <x:row r="33" ht="24" customHeight="1">
      <x:c r="A33" s="33" t="str">
        <x:v>REL-029</x:v>
      </x:c>
      <x:c r="B33" s="33" t="str">
        <x:v>PPE_Inventory</x:v>
      </x:c>
      <x:c r="C33" s="33" t="str">
        <x:v>ppe_item_id</x:v>
      </x:c>
      <x:c r="D33" s="33" t="str">
        <x:v>PPE_Matrix</x:v>
      </x:c>
      <x:c r="E33" s="33" t="str">
        <x:v>ppe_item_id</x:v>
      </x:c>
      <x:c r="F33" s="33" t="str">
        <x:v>1:M</x:v>
      </x:c>
      <x:c r="G33" s="50" t="str">
        <x:v>Foreign-key relationship across package workbooks</x:v>
      </x:c>
    </x:row>
    <x:row r="34" ht="24" customHeight="1">
      <x:c r="A34" s="33" t="str">
        <x:v>REL-030</x:v>
      </x:c>
      <x:c r="B34" s="33" t="str">
        <x:v>PPE_Inventory</x:v>
      </x:c>
      <x:c r="C34" s="33" t="str">
        <x:v>ppe_item_id</x:v>
      </x:c>
      <x:c r="D34" s="33" t="str">
        <x:v>PPE_Transactions</x:v>
      </x:c>
      <x:c r="E34" s="33" t="str">
        <x:v>ppe_item_id</x:v>
      </x:c>
      <x:c r="F34" s="33" t="str">
        <x:v>1:M</x:v>
      </x:c>
      <x:c r="G34" s="50" t="str">
        <x:v>Foreign-key relationship across package workbooks</x:v>
      </x:c>
    </x:row>
    <x:row r="35" ht="24" customHeight="1">
      <x:c r="A35" s="33" t="str">
        <x:v>REL-031</x:v>
      </x:c>
      <x:c r="B35" s="33" t="str">
        <x:v>Fire_Equipment</x:v>
      </x:c>
      <x:c r="C35" s="33" t="str">
        <x:v>equipment_id</x:v>
      </x:c>
      <x:c r="D35" s="33" t="str">
        <x:v>Fire_Inspections</x:v>
      </x:c>
      <x:c r="E35" s="33" t="str">
        <x:v>equipment_id</x:v>
      </x:c>
      <x:c r="F35" s="33" t="str">
        <x:v>1:M</x:v>
      </x:c>
      <x:c r="G35" s="50" t="str">
        <x:v>Foreign-key relationship across package workbooks</x:v>
      </x:c>
    </x:row>
    <x:row r="36" ht="24" customHeight="1">
      <x:c r="A36" s="33" t="str">
        <x:v>REL-032</x:v>
      </x:c>
      <x:c r="B36" s="33" t="str">
        <x:v>Chemicals</x:v>
      </x:c>
      <x:c r="C36" s="33" t="str">
        <x:v>chemical_id</x:v>
      </x:c>
      <x:c r="D36" s="33" t="str">
        <x:v>SDS_Records</x:v>
      </x:c>
      <x:c r="E36" s="33" t="str">
        <x:v>chemical_id</x:v>
      </x:c>
      <x:c r="F36" s="33" t="str">
        <x:v>1:M</x:v>
      </x:c>
      <x:c r="G36" s="50" t="str">
        <x:v>Foreign-key relationship across package workbooks</x:v>
      </x:c>
    </x:row>
    <x:row r="37" ht="24" customHeight="1">
      <x:c r="A37" s="33" t="str">
        <x:v>REL-033</x:v>
      </x:c>
      <x:c r="B37" s="33" t="str">
        <x:v>Medical_Protocols</x:v>
      </x:c>
      <x:c r="C37" s="33" t="str">
        <x:v>protocol_id</x:v>
      </x:c>
      <x:c r="D37" s="33" t="str">
        <x:v>Employee_Exposures</x:v>
      </x:c>
      <x:c r="E37" s="33" t="str">
        <x:v>protocol_id</x:v>
      </x:c>
      <x:c r="F37" s="33" t="str">
        <x:v>1:M</x:v>
      </x:c>
      <x:c r="G37" s="50" t="str">
        <x:v>Foreign-key relationship across package workbooks</x:v>
      </x:c>
    </x:row>
    <x:row r="38" ht="24" customHeight="1">
      <x:c r="A38" s="33" t="str">
        <x:v>REL-034</x:v>
      </x:c>
      <x:c r="B38" s="33" t="str">
        <x:v>Employees</x:v>
      </x:c>
      <x:c r="C38" s="33" t="str">
        <x:v>employee_id</x:v>
      </x:c>
      <x:c r="D38" s="33" t="str">
        <x:v>Employee_Exposures</x:v>
      </x:c>
      <x:c r="E38" s="33" t="str">
        <x:v>employee_id</x:v>
      </x:c>
      <x:c r="F38" s="33" t="str">
        <x:v>1:M</x:v>
      </x:c>
      <x:c r="G38" s="50" t="str">
        <x:v>Foreign-key relationship across package workbooks</x:v>
      </x:c>
    </x:row>
    <x:row r="39" ht="24" customHeight="1">
      <x:c r="A39" s="33" t="str">
        <x:v>REL-035</x:v>
      </x:c>
      <x:c r="B39" s="33" t="str">
        <x:v>Medical_Protocols</x:v>
      </x:c>
      <x:c r="C39" s="33" t="str">
        <x:v>protocol_id</x:v>
      </x:c>
      <x:c r="D39" s="33" t="str">
        <x:v>Health_Exams</x:v>
      </x:c>
      <x:c r="E39" s="33" t="str">
        <x:v>protocol_id</x:v>
      </x:c>
      <x:c r="F39" s="33" t="str">
        <x:v>1:M</x:v>
      </x:c>
      <x:c r="G39" s="50" t="str">
        <x:v>Foreign-key relationship across package workbooks</x:v>
      </x:c>
    </x:row>
    <x:row r="40" ht="24" customHeight="1">
      <x:c r="A40" s="33" t="str">
        <x:v>REL-036</x:v>
      </x:c>
      <x:c r="B40" s="33" t="str">
        <x:v>Employees</x:v>
      </x:c>
      <x:c r="C40" s="33" t="str">
        <x:v>employee_id</x:v>
      </x:c>
      <x:c r="D40" s="33" t="str">
        <x:v>Health_Exams</x:v>
      </x:c>
      <x:c r="E40" s="33" t="str">
        <x:v>employee_id</x:v>
      </x:c>
      <x:c r="F40" s="33" t="str">
        <x:v>1:M</x:v>
      </x:c>
      <x:c r="G40" s="50" t="str">
        <x:v>Foreign-key relationship across package workbooks</x:v>
      </x:c>
    </x:row>
    <x:row r="41" ht="24" customHeight="1">
      <x:c r="A41" s="33" t="str">
        <x:v>REL-037</x:v>
      </x:c>
      <x:c r="B41" s="33" t="str">
        <x:v>Employees</x:v>
      </x:c>
      <x:c r="C41" s="33" t="str">
        <x:v>employee_id</x:v>
      </x:c>
      <x:c r="D41" s="33" t="str">
        <x:v>Clinic_Visits</x:v>
      </x:c>
      <x:c r="E41" s="33" t="str">
        <x:v>employee_id</x:v>
      </x:c>
      <x:c r="F41" s="33" t="str">
        <x:v>1:M</x:v>
      </x:c>
      <x:c r="G41" s="50" t="str">
        <x:v>Foreign-key relationship across package workbooks</x:v>
      </x:c>
    </x:row>
    <x:row r="42" ht="24" customHeight="1">
      <x:c r="A42" s="33" t="str">
        <x:v>REL-038</x:v>
      </x:c>
      <x:c r="B42" s="33" t="str">
        <x:v>IoT_Sensors</x:v>
      </x:c>
      <x:c r="C42" s="33" t="str">
        <x:v>sensor_id</x:v>
      </x:c>
      <x:c r="D42" s="33" t="str">
        <x:v>Sensor_Readings</x:v>
      </x:c>
      <x:c r="E42" s="33" t="str">
        <x:v>sensor_id</x:v>
      </x:c>
      <x:c r="F42" s="33" t="str">
        <x:v>1:M</x:v>
      </x:c>
      <x:c r="G42" s="50" t="str">
        <x:v>Foreign-key relationship across package workbooks</x:v>
      </x:c>
    </x:row>
    <x:row r="43" ht="24" customHeight="1">
      <x:c r="A43" s="33" t="str">
        <x:v>REL-039</x:v>
      </x:c>
      <x:c r="B43" s="33" t="str">
        <x:v>Cameras</x:v>
      </x:c>
      <x:c r="C43" s="33" t="str">
        <x:v>camera_id</x:v>
      </x:c>
      <x:c r="D43" s="33" t="str">
        <x:v>AI_Events</x:v>
      </x:c>
      <x:c r="E43" s="33" t="str">
        <x:v>camera_id</x:v>
      </x:c>
      <x:c r="F43" s="33" t="str">
        <x:v>1:M</x:v>
      </x:c>
      <x:c r="G43" s="50" t="str">
        <x:v>Foreign-key relationship across package workbooks</x:v>
      </x:c>
    </x:row>
    <x:row r="44" ht="24" customHeight="1">
      <x:c r="A44" s="33" t="str">
        <x:v>REL-040</x:v>
      </x:c>
      <x:c r="B44" s="33" t="str">
        <x:v>Wearable_Devices</x:v>
      </x:c>
      <x:c r="C44" s="33" t="str">
        <x:v>device_id</x:v>
      </x:c>
      <x:c r="D44" s="33" t="str">
        <x:v>Wearable_Events</x:v>
      </x:c>
      <x:c r="E44" s="33" t="str">
        <x:v>device_id</x:v>
      </x:c>
      <x:c r="F44" s="33" t="str">
        <x:v>1:M</x:v>
      </x:c>
      <x:c r="G44" s="50" t="str">
        <x:v>Foreign-key relationship across package workbooks</x:v>
      </x:c>
    </x:row>
    <x:row r="45" ht="24" customHeight="1">
      <x:c r="A45" s="33" t="str">
        <x:v>REL-041</x:v>
      </x:c>
      <x:c r="B45" s="33" t="str">
        <x:v>Integrations</x:v>
      </x:c>
      <x:c r="C45" s="33" t="str">
        <x:v>integration_id</x:v>
      </x:c>
      <x:c r="D45" s="33" t="str">
        <x:v>API_Logs</x:v>
      </x:c>
      <x:c r="E45" s="33" t="str">
        <x:v>integration_id</x:v>
      </x:c>
      <x:c r="F45" s="33" t="str">
        <x:v>1:M</x:v>
      </x:c>
      <x:c r="G45" s="50" t="str">
        <x:v>Foreign-key relationship across package workbooks</x:v>
      </x:c>
    </x:row>
    <x:row r="46" ht="24" customHeight="1">
      <x:c r="A46" s="33" t="str">
        <x:v>REL-042</x:v>
      </x:c>
      <x:c r="B46" s="33" t="str">
        <x:v>Integrations</x:v>
      </x:c>
      <x:c r="C46" s="33" t="str">
        <x:v>integration_id</x:v>
      </x:c>
      <x:c r="D46" s="33" t="str">
        <x:v>Integration_Outbox</x:v>
      </x:c>
      <x:c r="E46" s="33" t="str">
        <x:v>destination_integration_id</x:v>
      </x:c>
      <x:c r="F46" s="33" t="str">
        <x:v>1:M</x:v>
      </x:c>
      <x:c r="G46" s="50" t="str">
        <x:v>Foreign-key relationship across package workbooks</x:v>
      </x:c>
    </x:row>
    <x:row r="47" ht="24" customHeight="1">
      <x:c r="A47" s="33" t="str">
        <x:v>REL-043</x:v>
      </x:c>
      <x:c r="B47" s="33" t="str">
        <x:v>Users</x:v>
      </x:c>
      <x:c r="C47" s="33" t="str">
        <x:v>user_id</x:v>
      </x:c>
      <x:c r="D47" s="33" t="str">
        <x:v>QA_Sessions</x:v>
      </x:c>
      <x:c r="E47" s="33" t="str">
        <x:v>admin_user_id</x:v>
      </x:c>
      <x:c r="F47" s="33" t="str">
        <x:v>1:M</x:v>
      </x:c>
      <x:c r="G47" s="50" t="str">
        <x:v>Foreign-key relationship across package workbooks</x:v>
      </x:c>
    </x:row>
    <x:row r="48" ht="24" customHeight="1">
      <x:c r="A48" s="33" t="str">
        <x:v>REL-044</x:v>
      </x:c>
      <x:c r="B48" s="33" t="str">
        <x:v>QA_Sessions</x:v>
      </x:c>
      <x:c r="C48" s="33" t="str">
        <x:v>session_id</x:v>
      </x:c>
      <x:c r="D48" s="33" t="str">
        <x:v>QA_Messages</x:v>
      </x:c>
      <x:c r="E48" s="33" t="str">
        <x:v>session_id</x:v>
      </x:c>
      <x:c r="F48" s="33" t="str">
        <x:v>1:M</x:v>
      </x:c>
      <x:c r="G48" s="50" t="str">
        <x:v>Foreign-key relationship across package workbooks</x:v>
      </x:c>
    </x:row>
    <x:row r="49" ht="24" customHeight="1">
      <x:c r="A49" s="33" t="str">
        <x:v>REL-045</x:v>
      </x:c>
      <x:c r="B49" s="33" t="str">
        <x:v>QA_Messages</x:v>
      </x:c>
      <x:c r="C49" s="33" t="str">
        <x:v>message_id</x:v>
      </x:c>
      <x:c r="D49" s="33" t="str">
        <x:v>QA_Tool_Calls</x:v>
      </x:c>
      <x:c r="E49" s="33" t="str">
        <x:v>message_id</x:v>
      </x:c>
      <x:c r="F49" s="33" t="str">
        <x:v>1:M</x:v>
      </x:c>
      <x:c r="G49" s="50" t="str">
        <x:v>Foreign-key relationship across package workbooks</x:v>
      </x:c>
    </x:row>
    <x:row r="50" ht="24" customHeight="1">
      <x:c r="A50" s="33" t="str">
        <x:v>REL-046</x:v>
      </x:c>
      <x:c r="B50" s="33" t="str">
        <x:v>Automation_Rules</x:v>
      </x:c>
      <x:c r="C50" s="33" t="str">
        <x:v>rule_id</x:v>
      </x:c>
      <x:c r="D50" s="33" t="str">
        <x:v>Automation_Runs</x:v>
      </x:c>
      <x:c r="E50" s="33" t="str">
        <x:v>rule_id</x:v>
      </x:c>
      <x:c r="F50" s="33" t="str">
        <x:v>1:M</x:v>
      </x:c>
      <x:c r="G50" s="50" t="str">
        <x:v>Foreign-key relationship across package workbooks</x:v>
      </x:c>
    </x:row>
    <x:row r="51" ht="24" customHeight="1">
      <x:c r="A51" s="33" t="str">
        <x:v>REL-047</x:v>
      </x:c>
      <x:c r="B51" s="33" t="str">
        <x:v>Automation_Runs</x:v>
      </x:c>
      <x:c r="C51" s="33" t="str">
        <x:v>run_id</x:v>
      </x:c>
      <x:c r="D51" s="33" t="str">
        <x:v>Automation_Actions</x:v>
      </x:c>
      <x:c r="E51" s="33" t="str">
        <x:v>run_id</x:v>
      </x:c>
      <x:c r="F51" s="33" t="str">
        <x:v>1:M</x:v>
      </x:c>
      <x:c r="G51" s="50" t="str">
        <x:v>Foreign-key relationship across package workbooks</x:v>
      </x:c>
    </x:row>
    <x:row r="52" ht="24" customHeight="1">
      <x:c r="A52" s="35" t="str">
        <x:v>REL-048</x:v>
      </x:c>
      <x:c r="B52" s="35" t="str">
        <x:v>Audit_Log</x:v>
      </x:c>
      <x:c r="C52" s="35" t="str">
        <x:v>audit_id</x:v>
      </x:c>
      <x:c r="D52" s="35" t="str">
        <x:v>Automation_Actions</x:v>
      </x:c>
      <x:c r="E52" s="35" t="str">
        <x:v>audit_id</x:v>
      </x:c>
      <x:c r="F52" s="35" t="str">
        <x:v>1:M</x:v>
      </x:c>
      <x:c r="G52" s="51" t="str">
        <x:v>Foreign-key relationship across package workbooks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0e05b4b7d2c4bf0"/>
  </x:tableParts>
</x:worksheet>
</file>