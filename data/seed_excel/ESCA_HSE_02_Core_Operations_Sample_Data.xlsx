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2c27eb287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88b2205d1f4804"/>
    <x:sheet xmlns:r="http://schemas.openxmlformats.org/officeDocument/2006/relationships" name="Summary" sheetId="2" r:id="R0dd8799e97c14eac"/>
    <x:sheet xmlns:r="http://schemas.openxmlformats.org/officeDocument/2006/relationships" name="Incidents" sheetId="3" r:id="Rd953a18575ee47cd"/>
    <x:sheet xmlns:r="http://schemas.openxmlformats.org/officeDocument/2006/relationships" name="Inspections" sheetId="4" r:id="R99278a32e324437d"/>
    <x:sheet xmlns:r="http://schemas.openxmlformats.org/officeDocument/2006/relationships" name="Findings" sheetId="5" r:id="R38f8713901094479"/>
    <x:sheet xmlns:r="http://schemas.openxmlformats.org/officeDocument/2006/relationships" name="CAPA" sheetId="6" r:id="Rbf6098b160294bf8"/>
    <x:sheet xmlns:r="http://schemas.openxmlformats.org/officeDocument/2006/relationships" name="Risk_Register" sheetId="7" r:id="Rb98d6d0a2ba641f6"/>
    <x:sheet xmlns:r="http://schemas.openxmlformats.org/officeDocument/2006/relationships" name="JSA" sheetId="8" r:id="Rffcd42ab8af44701"/>
    <x:sheet xmlns:r="http://schemas.openxmlformats.org/officeDocument/2006/relationships" name="JSA_Steps" sheetId="9" r:id="Raaa0e4467fe04490"/>
    <x:sheet xmlns:r="http://schemas.openxmlformats.org/officeDocument/2006/relationships" name="Permits" sheetId="10" r:id="Rbdf7e7667f594bee"/>
    <x:sheet xmlns:r="http://schemas.openxmlformats.org/officeDocument/2006/relationships" name="Permit_Approvals" sheetId="11" r:id="R7f5667a1e2dd4043"/>
    <x:sheet xmlns:r="http://schemas.openxmlformats.org/officeDocument/2006/relationships" name="Permit_Checklist" sheetId="12" r:id="Rd9d0f88ef8b44375"/>
    <x:sheet xmlns:r="http://schemas.openxmlformats.org/officeDocument/2006/relationships" name="Permit_Gas_Tests" sheetId="13" r:id="Rae99fe2334524c3f"/>
    <x:sheet xmlns:r="http://schemas.openxmlformats.org/officeDocument/2006/relationships" name="SIMOPS" sheetId="14" r:id="R207a827fb5224ee6"/>
    <x:sheet xmlns:r="http://schemas.openxmlformats.org/officeDocument/2006/relationships" name="Incident_RCA" sheetId="15" r:id="R49cff7a848264a99"/>
    <x:sheet xmlns:r="http://schemas.openxmlformats.org/officeDocument/2006/relationships" name="Inspection_Responses" sheetId="16" r:id="R7d83188777db40b8"/>
    <x:sheet xmlns:r="http://schemas.openxmlformats.org/officeDocument/2006/relationships" name="Monthly_KPIs" sheetId="17" r:id="R7071adbf71124c68"/>
    <x:sheet xmlns:r="http://schemas.openxmlformats.org/officeDocument/2006/relationships" name="Report_Definitions" sheetId="18" r:id="Raecb9c53db564ee5"/>
    <x:sheet xmlns:r="http://schemas.openxmlformats.org/officeDocument/2006/relationships" name="Report_Runs" sheetId="19" r:id="Rac3e8ebf9c1a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#,##0"/>
    <x:numFmt numFmtId="202" formatCode="yyyy-mm-dd"/>
    <x:numFmt numFmtId="203" formatCode="0.0%"/>
    <x:numFmt numFmtId="204" formatCode="0.0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0B1526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19"/>
      <x:color rgb="FFFFFFFF"/>
      <x:name val="Carlito"/>
    </x:font>
    <x:font>
      <x:b/>
      <x:sz val="11"/>
      <x:color rgb="FF1D2939"/>
      <x:name val="Carlito"/>
    </x:font>
    <x:font>
      <x:b/>
      <x:sz val="12"/>
      <x:color rgb="FF0B15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526"/>
      </x:patternFill>
    </x:fill>
    <x:fill>
      <x:patternFill patternType="solid">
        <x:fgColor rgb="FFF5F7FA"/>
      </x:patternFill>
    </x:fill>
    <x:fill>
      <x:patternFill patternType="solid">
        <x:fgColor rgb="FF1B2E4A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bottom style="medium">
        <x:color rgb="FF9E1B32"/>
      </x:bottom>
    </x:border>
    <x:border>
      <x:bottom style="thin">
        <x:color rgb="FFD6DEE8"/>
      </x:bottom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/>
    </x:xf>
    <x:xf numFmtId="202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0" fillId="0" borderId="4" xfId="0" applyNumberFormat="1" applyFont="1" applyFill="1" applyBorder="1" applyAlignment="1">
      <x:alignment vertical="top"/>
    </x:xf>
    <x:xf numFmtId="203" fontId="0" fillId="0" borderId="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 applyAlignment="1">
      <x:alignment vertical="top"/>
    </x:xf>
    <x:xf numFmtId="204" fontId="0" fillId="0" borderId="3" xfId="0" applyNumberFormat="1" applyFont="1" applyFill="1" applyBorder="1" applyAlignment="1">
      <x:alignment vertical="top"/>
    </x:xf>
    <x:xf numFmtId="204" fontId="0" fillId="0" borderId="4" xfId="0" applyNumberFormat="1" applyFont="1" applyFill="1" applyBorder="1" applyAlignment="1">
      <x:alignment vertical="top"/>
    </x:xf>
    <x:xf numFmtId="204" fontId="0" fillId="0" borderId="5" xfId="0" applyNumberFormat="1" applyFont="1" applyFill="1" applyBorder="1" applyAlignment="1">
      <x:alignment vertical="top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201" fontId="10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201" fontId="10" fillId="7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dxfs count="957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4cd6e800a4dc7" /><Relationship Type="http://schemas.openxmlformats.org/officeDocument/2006/relationships/theme" Target="/xl/theme/theme1.xml" Id="Rfcd485c39df14c61" /><Relationship Type="http://schemas.microsoft.com/office/2022/11/relationships/FeaturePropertyBag" Target="/xl/featurePropertyBag/featurePropertyBag.xml" Id="R43e7f3695a91451f" /><Relationship Type="http://schemas.openxmlformats.org/officeDocument/2006/relationships/sharedStrings" Target="/xl/sharedStrings.xml" Id="Rb381e25e8d4d470e" /><Relationship Type="http://schemas.openxmlformats.org/officeDocument/2006/relationships/worksheet" Target="/xl/worksheets/sheet1.xml" Id="R7388b2205d1f4804" /><Relationship Type="http://schemas.openxmlformats.org/officeDocument/2006/relationships/worksheet" Target="/xl/worksheets/sheet2.xml" Id="R0dd8799e97c14eac" /><Relationship Type="http://schemas.openxmlformats.org/officeDocument/2006/relationships/worksheet" Target="/xl/worksheets/sheet3.xml" Id="Rd953a18575ee47cd" /><Relationship Type="http://schemas.openxmlformats.org/officeDocument/2006/relationships/worksheet" Target="/xl/worksheets/sheet4.xml" Id="R99278a32e324437d" /><Relationship Type="http://schemas.openxmlformats.org/officeDocument/2006/relationships/worksheet" Target="/xl/worksheets/sheet5.xml" Id="R38f8713901094479" /><Relationship Type="http://schemas.openxmlformats.org/officeDocument/2006/relationships/worksheet" Target="/xl/worksheets/sheet6.xml" Id="Rbf6098b160294bf8" /><Relationship Type="http://schemas.openxmlformats.org/officeDocument/2006/relationships/worksheet" Target="/xl/worksheets/sheet7.xml" Id="Rb98d6d0a2ba641f6" /><Relationship Type="http://schemas.openxmlformats.org/officeDocument/2006/relationships/worksheet" Target="/xl/worksheets/sheet8.xml" Id="Rffcd42ab8af44701" /><Relationship Type="http://schemas.openxmlformats.org/officeDocument/2006/relationships/worksheet" Target="/xl/worksheets/sheet9.xml" Id="Raaa0e4467fe04490" /><Relationship Type="http://schemas.openxmlformats.org/officeDocument/2006/relationships/worksheet" Target="/xl/worksheets/sheet10.xml" Id="Rbdf7e7667f594bee" /><Relationship Type="http://schemas.openxmlformats.org/officeDocument/2006/relationships/worksheet" Target="/xl/worksheets/sheet11.xml" Id="R7f5667a1e2dd4043" /><Relationship Type="http://schemas.openxmlformats.org/officeDocument/2006/relationships/worksheet" Target="/xl/worksheets/sheet12.xml" Id="Rd9d0f88ef8b44375" /><Relationship Type="http://schemas.openxmlformats.org/officeDocument/2006/relationships/worksheet" Target="/xl/worksheets/sheet13.xml" Id="Rae99fe2334524c3f" /><Relationship Type="http://schemas.openxmlformats.org/officeDocument/2006/relationships/worksheet" Target="/xl/worksheets/sheet14.xml" Id="R207a827fb5224ee6" /><Relationship Type="http://schemas.openxmlformats.org/officeDocument/2006/relationships/worksheet" Target="/xl/worksheets/sheet15.xml" Id="R49cff7a848264a99" /><Relationship Type="http://schemas.openxmlformats.org/officeDocument/2006/relationships/worksheet" Target="/xl/worksheets/sheet16.xml" Id="R7d83188777db40b8" /><Relationship Type="http://schemas.openxmlformats.org/officeDocument/2006/relationships/worksheet" Target="/xl/worksheets/sheet17.xml" Id="R7071adbf71124c68" /><Relationship Type="http://schemas.openxmlformats.org/officeDocument/2006/relationships/worksheet" Target="/xl/worksheets/sheet18.xml" Id="Raecb9c53db564ee5" /><Relationship Type="http://schemas.openxmlformats.org/officeDocument/2006/relationships/worksheet" Target="/xl/worksheets/sheet19.xml" Id="Rac3e8ebf9c1a492f" /><Relationship Type="http://schemas.microsoft.com/office/2017/10/relationships/person" Target="/xl/persons/person.xml" Id="R42f2c48027044e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91973842334a90" /><Relationship Type="http://schemas.openxmlformats.org/officeDocument/2006/relationships/chart" Target="/xl/drawings/charts/chart2.xml" Id="R2772256bbb7944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Incidents by severity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Incident count</c:v>
          </c:tx>
          <c:cat>
            <c:strRef>
              <c:f>'Summary'!$D$7:$D$10</c:f>
              <c:strCache>
                <c:ptCount val="0"/>
              </c:strCache>
            </c:strRef>
          </c:cat>
          <c:val>
            <c:numRef>
              <c:f>'Summary'!$E$7:$E$10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safety-rate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TRIR</c:v>
          </c:tx>
          <c:marker>
            <c:symbol val="none"/>
          </c:marker>
          <c:cat>
            <c:strRef>
              <c:f>'Summary'!$D$14:$D$21</c:f>
              <c:strCache>
                <c:ptCount val="0"/>
              </c:strCache>
            </c:strRef>
          </c:cat>
          <c:val>
            <c:numRef>
              <c:f>'Summary'!$E$14:$E$21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LTIFR</c:v>
          </c:tx>
          <c:marker>
            <c:symbol val="none"/>
          </c:marker>
          <c:cat>
            <c:strRef>
              <c:f>'Summary'!$D$14:$D$21</c:f>
              <c:strCache>
                <c:ptCount val="0"/>
              </c:strCache>
            </c:strRef>
          </c:cat>
          <c:val>
            <c:numRef>
              <c:f>'Summary'!$F$14:$F$21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Severity rate</c:v>
          </c:tx>
          <c:marker>
            <c:symbol val="none"/>
          </c:marker>
          <c:cat>
            <c:strRef>
              <c:f>'Summary'!$D$14:$D$21</c:f>
              <c:strCache>
                <c:ptCount val="0"/>
              </c:strCache>
            </c:strRef>
          </c:cat>
          <c:val>
            <c:numRef>
              <c:f>'Summary'!$G$14:$G$21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91973842334a90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2256bbb7944e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7F9A861-F76B-4F54-AB1A-E6BCDAE8DA9C}"/>
</xltc:personList>
</file>

<file path=xl/tables/table1.xml><?xml version="1.0" encoding="utf-8"?>
<x:table xmlns:x="http://schemas.openxmlformats.org/spreadsheetml/2006/main" id="1" name="Tbl_Incidents" displayName="Tbl_Incidents" ref="A4:P16" headerRowCount="1" totalsRowCount="0" totalsRowShown="0">
  <x:autoFilter ref="A4:P16"/>
  <x:tableColumns count="16">
    <x:tableColumn id="1" name="incident_id"/>
    <x:tableColumn id="2" name="reported_at"/>
    <x:tableColumn id="3" name="department_id"/>
    <x:tableColumn id="4" name="zone_id"/>
    <x:tableColumn id="5" name="reported_by"/>
    <x:tableColumn id="6" name="incident_type"/>
    <x:tableColumn id="7" name="severity"/>
    <x:tableColumn id="8" name="title"/>
    <x:tableColumn id="9" name="description"/>
    <x:tableColumn id="10" name="injured_employee_id"/>
    <x:tableColumn id="11" name="lost_days"/>
    <x:tableColumn id="12" name="status"/>
    <x:tableColumn id="13" name="investigation_owner_id"/>
    <x:tableColumn id="14" name="target_close_date"/>
    <x:tableColumn id="15" name="actual_close_date"/>
    <x:tableColumn id="16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Inspections" displayName="Tbl_Inspections" ref="A4:L14" headerRowCount="1" totalsRowCount="0" totalsRowShown="0">
  <x:autoFilter ref="A4:L14"/>
  <x:tableColumns count="12">
    <x:tableColumn id="1" name="inspection_id"/>
    <x:tableColumn id="2" name="inspection_type"/>
    <x:tableColumn id="3" name="department_id"/>
    <x:tableColumn id="4" name="zone_id"/>
    <x:tableColumn id="5" name="scheduled_at"/>
    <x:tableColumn id="6" name="completed_at"/>
    <x:tableColumn id="7" name="lead_inspector_id"/>
    <x:tableColumn id="8" name="status"/>
    <x:tableColumn id="9" name="score_pct"/>
    <x:tableColumn id="10" name="mobile_mode"/>
    <x:tableColumn id="11" name="checklist_version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Findings" displayName="Tbl_Findings" ref="A4:K16" headerRowCount="1" totalsRowCount="0" totalsRowShown="0">
  <x:autoFilter ref="A4:K16"/>
  <x:tableColumns count="11">
    <x:tableColumn id="1" name="finding_id"/>
    <x:tableColumn id="2" name="inspection_id"/>
    <x:tableColumn id="3" name="category"/>
    <x:tableColumn id="4" name="description"/>
    <x:tableColumn id="5" name="severity"/>
    <x:tableColumn id="6" name="responsible_id"/>
    <x:tableColumn id="7" name="due_date"/>
    <x:tableColumn id="8" name="status"/>
    <x:tableColumn id="9" name="closed_at"/>
    <x:tableColumn id="10" name="capa_required"/>
    <x:tableColumn id="11" name="capa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APA" displayName="Tbl_CAPA" ref="A4:O19" headerRowCount="1" totalsRowCount="0" totalsRowShown="0">
  <x:autoFilter ref="A4:O19"/>
  <x:tableColumns count="15">
    <x:tableColumn id="1" name="capa_id"/>
    <x:tableColumn id="2" name="incident_id"/>
    <x:tableColumn id="3" name="finding_id"/>
    <x:tableColumn id="4" name="title"/>
    <x:tableColumn id="5" name="action_type"/>
    <x:tableColumn id="6" name="priority"/>
    <x:tableColumn id="7" name="assigned_to"/>
    <x:tableColumn id="8" name="due_date"/>
    <x:tableColumn id="9" name="status"/>
    <x:tableColumn id="10" name="completion_date"/>
    <x:tableColumn id="11" name="verification_status"/>
    <x:tableColumn id="12" name="verified_by"/>
    <x:tableColumn id="13" name="last_reminder_at"/>
    <x:tableColumn id="14" name="days_overdue"/>
    <x:tableColumn id="15" name="automation_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Risk_Register" displayName="Tbl_Risk_Register" ref="A4:R16" headerRowCount="1" totalsRowCount="0" totalsRowShown="0">
  <x:autoFilter ref="A4:R16"/>
  <x:tableColumns count="18">
    <x:tableColumn id="1" name="risk_id"/>
    <x:tableColumn id="2" name="department_id"/>
    <x:tableColumn id="3" name="zone_id"/>
    <x:tableColumn id="4" name="hazard"/>
    <x:tableColumn id="5" name="activity"/>
    <x:tableColumn id="6" name="likelihood"/>
    <x:tableColumn id="7" name="severity"/>
    <x:tableColumn id="8" name="inherent_score"/>
    <x:tableColumn id="9" name="risk_level"/>
    <x:tableColumn id="10" name="controls"/>
    <x:tableColumn id="11" name="residual_likelihood"/>
    <x:tableColumn id="12" name="residual_severity"/>
    <x:tableColumn id="13" name="residual_score"/>
    <x:tableColumn id="14" name="owner_id"/>
    <x:tableColumn id="15" name="status"/>
    <x:tableColumn id="16" name="last_reviewed_at"/>
    <x:tableColumn id="17" name="next_review_date"/>
    <x:tableColumn id="18" name="review_fla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JSA" displayName="Tbl_JSA" ref="A4:N12" headerRowCount="1" totalsRowCount="0" totalsRowShown="0">
  <x:autoFilter ref="A4:N12"/>
  <x:tableColumns count="14">
    <x:tableColumn id="1" name="jsa_id"/>
    <x:tableColumn id="2" name="task_name"/>
    <x:tableColumn id="3" name="department_id"/>
    <x:tableColumn id="4" name="zone_id"/>
    <x:tableColumn id="5" name="created_by"/>
    <x:tableColumn id="6" name="created_at"/>
    <x:tableColumn id="7" name="frequency"/>
    <x:tableColumn id="8" name="permit_required"/>
    <x:tableColumn id="9" name="permit_type"/>
    <x:tableColumn id="10" name="inherent_score"/>
    <x:tableColumn id="11" name="residual_score"/>
    <x:tableColumn id="12" name="status"/>
    <x:tableColumn id="13" name="approved_by"/>
    <x:tableColumn id="14" name="approv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JSA_Steps" displayName="Tbl_JSA_Steps" ref="A4:N28" headerRowCount="1" totalsRowCount="0" totalsRowShown="0">
  <x:autoFilter ref="A4:N28"/>
  <x:tableColumns count="14">
    <x:tableColumn id="1" name="step_id"/>
    <x:tableColumn id="2" name="jsa_id"/>
    <x:tableColumn id="3" name="step_no"/>
    <x:tableColumn id="4" name="task_step"/>
    <x:tableColumn id="5" name="hazard"/>
    <x:tableColumn id="6" name="control_level"/>
    <x:tableColumn id="7" name="control_measure"/>
    <x:tableColumn id="8" name="likelihood_before"/>
    <x:tableColumn id="9" name="severity_before"/>
    <x:tableColumn id="10" name="score_before"/>
    <x:tableColumn id="11" name="likelihood_after"/>
    <x:tableColumn id="12" name="severity_after"/>
    <x:tableColumn id="13" name="score_after"/>
    <x:tableColumn id="14" name="responsible_ro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Permits" displayName="Tbl_Permits" ref="A4:R16" headerRowCount="1" totalsRowCount="0" totalsRowShown="0">
  <x:autoFilter ref="A4:R16"/>
  <x:tableColumns count="18">
    <x:tableColumn id="1" name="permit_id"/>
    <x:tableColumn id="2" name="permit_type"/>
    <x:tableColumn id="3" name="department_id"/>
    <x:tableColumn id="4" name="zone_id"/>
    <x:tableColumn id="5" name="work_description"/>
    <x:tableColumn id="6" name="requester_id"/>
    <x:tableColumn id="7" name="issuer_id"/>
    <x:tableColumn id="8" name="executor_type"/>
    <x:tableColumn id="9" name="executor_name"/>
    <x:tableColumn id="10" name="start_at"/>
    <x:tableColumn id="11" name="expiry_at"/>
    <x:tableColumn id="12" name="risk_level"/>
    <x:tableColumn id="13" name="jsa_id"/>
    <x:tableColumn id="14" name="status"/>
    <x:tableColumn id="15" name="suspended_reason"/>
    <x:tableColumn id="16" name="actual_close_at"/>
    <x:tableColumn id="17" name="hours_to_expiry"/>
    <x:tableColumn id="18" name="automation_fla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Permit_Approvals" displayName="Tbl_Permit_Approvals" ref="A4:J44" headerRowCount="1" totalsRowCount="0" totalsRowShown="0">
  <x:autoFilter ref="A4:J44"/>
  <x:tableColumns count="10">
    <x:tableColumn id="1" name="approval_id"/>
    <x:tableColumn id="2" name="permit_id"/>
    <x:tableColumn id="3" name="step_no"/>
    <x:tableColumn id="4" name="approver_role"/>
    <x:tableColumn id="5" name="approver_id"/>
    <x:tableColumn id="6" name="decision"/>
    <x:tableColumn id="7" name="decided_at"/>
    <x:tableColumn id="8" name="comments"/>
    <x:tableColumn id="9" name="signature_hash"/>
    <x:tableColumn id="10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Permit_Checklist" displayName="Tbl_Permit_Checklist" ref="A4:I52" headerRowCount="1" totalsRowCount="0" totalsRowShown="0">
  <x:autoFilter ref="A4:I52"/>
  <x:tableColumns count="9">
    <x:tableColumn id="1" name="checklist_id"/>
    <x:tableColumn id="2" name="permit_id"/>
    <x:tableColumn id="3" name="item_code"/>
    <x:tableColumn id="4" name="item_text"/>
    <x:tableColumn id="5" name="response"/>
    <x:tableColumn id="6" name="mandatory_flag"/>
    <x:tableColumn id="7" name="verified_by"/>
    <x:tableColumn id="8" name="verified_at"/>
    <x:tableColumn id="9" name="evidence_ref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Permit_Gas_Tests" displayName="Tbl_Permit_Gas_Tests" ref="A4:J10" headerRowCount="1" totalsRowCount="0" totalsRowShown="0">
  <x:autoFilter ref="A4:J10"/>
  <x:tableColumns count="10">
    <x:tableColumn id="1" name="gas_test_id"/>
    <x:tableColumn id="2" name="permit_id"/>
    <x:tableColumn id="3" name="tested_at"/>
    <x:tableColumn id="4" name="tester_id"/>
    <x:tableColumn id="5" name="oxygen_pct"/>
    <x:tableColumn id="6" name="lel_pct"/>
    <x:tableColumn id="7" name="h2s_ppm"/>
    <x:tableColumn id="8" name="co_ppm"/>
    <x:tableColumn id="9" name="result"/>
    <x:tableColumn id="10" name="action_tak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SIMOPS" displayName="Tbl_SIMOPS" ref="A4:K9" headerRowCount="1" totalsRowCount="0" totalsRowShown="0">
  <x:autoFilter ref="A4:K9"/>
  <x:tableColumns count="11">
    <x:tableColumn id="1" name="simops_id"/>
    <x:tableColumn id="2" name="permit_a_id"/>
    <x:tableColumn id="3" name="permit_b_id"/>
    <x:tableColumn id="4" name="zone_id"/>
    <x:tableColumn id="5" name="detected_at"/>
    <x:tableColumn id="6" name="conflict_type"/>
    <x:tableColumn id="7" name="distance_m"/>
    <x:tableColumn id="8" name="rule_code"/>
    <x:tableColumn id="9" name="decision"/>
    <x:tableColumn id="10" name="status"/>
    <x:tableColumn id="11" name="resolved_a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Incident_RCA" displayName="Tbl_Incident_RCA" ref="A4:J14" headerRowCount="1" totalsRowCount="0" totalsRowShown="0">
  <x:autoFilter ref="A4:J14"/>
  <x:tableColumns count="10">
    <x:tableColumn id="1" name="rca_id"/>
    <x:tableColumn id="2" name="incident_id"/>
    <x:tableColumn id="3" name="method"/>
    <x:tableColumn id="4" name="problem_statement"/>
    <x:tableColumn id="5" name="primary_cause_category"/>
    <x:tableColumn id="6" name="root_cause"/>
    <x:tableColumn id="7" name="contributing_factors"/>
    <x:tableColumn id="8" name="completed_by"/>
    <x:tableColumn id="9" name="completed_at"/>
    <x:tableColumn id="10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Inspection_Responses" displayName="Tbl_Inspection_Responses" ref="A4:J34" headerRowCount="1" totalsRowCount="0" totalsRowShown="0">
  <x:autoFilter ref="A4:J34"/>
  <x:tableColumns count="10">
    <x:tableColumn id="1" name="response_id"/>
    <x:tableColumn id="2" name="inspection_id"/>
    <x:tableColumn id="3" name="item_code"/>
    <x:tableColumn id="4" name="question_text"/>
    <x:tableColumn id="5" name="response"/>
    <x:tableColumn id="6" name="score"/>
    <x:tableColumn id="7" name="finding_id"/>
    <x:tableColumn id="8" name="recorded_at"/>
    <x:tableColumn id="9" name="recorded_by"/>
    <x:tableColumn id="10" name="evidence_ref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Monthly_KPIs" displayName="Tbl_Monthly_KPIs" ref="A4:M12" headerRowCount="1" totalsRowCount="0" totalsRowShown="0">
  <x:autoFilter ref="A4:M12"/>
  <x:tableColumns count="13">
    <x:tableColumn id="1" name="kpi_id"/>
    <x:tableColumn id="2" name="month"/>
    <x:tableColumn id="3" name="hours_worked"/>
    <x:tableColumn id="4" name="recordable_incidents"/>
    <x:tableColumn id="5" name="lost_time_injuries"/>
    <x:tableColumn id="6" name="lost_days"/>
    <x:tableColumn id="7" name="near_misses"/>
    <x:tableColumn id="8" name="safety_observations"/>
    <x:tableColumn id="9" name="inspections_completed"/>
    <x:tableColumn id="10" name="training_hours"/>
    <x:tableColumn id="11" name="trir"/>
    <x:tableColumn id="12" name="ltifr"/>
    <x:tableColumn id="13" name="severity_r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_Report_Definitions" displayName="Tbl_Report_Definitions" ref="A4:J11" headerRowCount="1" totalsRowCount="0" totalsRowShown="0">
  <x:autoFilter ref="A4:J11"/>
  <x:tableColumns count="10">
    <x:tableColumn id="1" name="report_id"/>
    <x:tableColumn id="2" name="report_name"/>
    <x:tableColumn id="3" name="report_type"/>
    <x:tableColumn id="4" name="data_sources"/>
    <x:tableColumn id="5" name="formats"/>
    <x:tableColumn id="6" name="schedule_cron"/>
    <x:tableColumn id="7" name="timezone"/>
    <x:tableColumn id="8" name="recipient_role"/>
    <x:tableColumn id="9" name="enabled_flag"/>
    <x:tableColumn id="10" name="retention_day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_Report_Runs" displayName="Tbl_Report_Runs" ref="A4:K11" headerRowCount="1" totalsRowCount="0" totalsRowShown="0">
  <x:autoFilter ref="A4:K11"/>
  <x:tableColumns count="11">
    <x:tableColumn id="1" name="report_run_id"/>
    <x:tableColumn id="2" name="report_id"/>
    <x:tableColumn id="3" name="requested_at"/>
    <x:tableColumn id="4" name="requested_by"/>
    <x:tableColumn id="5" name="period_from"/>
    <x:tableColumn id="6" name="period_to"/>
    <x:tableColumn id="7" name="status"/>
    <x:tableColumn id="8" name="output_format"/>
    <x:tableColumn id="9" name="output_ref"/>
    <x:tableColumn id="10" name="row_count"/>
    <x:tableColumn id="11" name="error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f74dab6d384a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f12f7090c7842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2d46579fa4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18c944469b645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9e9c9ebfeb44c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a8d2619907247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d52525fd6e748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af90bbc716c40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65d4b03ca514f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fd4f330f684c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07846d5c76140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ca50732461e48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4a46ad5c91547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9ba7fd73a81453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71791325c294e0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bec06ef53de64c9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37cc4d739b334e5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cfb0f5d20e9843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12" hidden="0" customWidth="1"/>
  </x:cols>
  <x:sheetData>
    <x:row r="1" ht="38" customHeight="1">
      <x:c r="A1" s="3" t="str">
        <x:v>ESCA HSE | Core Operations Sample Data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Incident, inspection, CAPA, HIRA, JSA, PTW, SIMOPS and KPI datasets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Convention</x:v>
      </x:c>
      <x:c r="B4" s="9" t="str">
        <x:v>Details</x:v>
      </x:c>
      <x:c r="C4" s="9"/>
      <x:c r="D4" s="9"/>
    </x:row>
    <x:row r="5" ht="32" customHeight="1">
      <x:c r="A5" s="12" t="str">
        <x:v>Dataset type</x:v>
      </x:c>
      <x:c r="B5" s="14" t="str">
        <x:v>100% synthetic training/development data; no real employee or medical data.</x:v>
      </x:c>
      <x:c r="C5" s="14"/>
      <x:c r="D5" s="14"/>
    </x:row>
    <x:row r="6" ht="32" customHeight="1">
      <x:c r="A6" s="12" t="str">
        <x:v>Reference snapshot</x:v>
      </x:c>
      <x:c r="B6" s="14" t="str">
        <x:v>2026-08-13, timezone Africa/Cairo.</x:v>
      </x:c>
      <x:c r="C6" s="14"/>
      <x:c r="D6" s="14"/>
    </x:row>
    <x:row r="7" ht="44" customHeight="1">
      <x:c r="A7" s="12" t="str">
        <x:v>Source references</x:v>
      </x:c>
      <x:c r="B7" s="14" t="str">
        <x:v>ESCA_HSE_Management_System.html (17-module mockup) and ESCA_HSE_Project_Plan.pdf.</x:v>
      </x:c>
      <x:c r="C7" s="14"/>
      <x:c r="D7" s="14"/>
    </x:row>
    <x:row r="8" ht="32" customHeight="1">
      <x:c r="A8" s="12" t="str">
        <x:v>Identifiers</x:v>
      </x:c>
      <x:c r="B8" s="14" t="str">
        <x:v>Cross-file IDs are intentionally consistent. Do not rename primary keys without updating foreign keys.</x:v>
      </x:c>
      <x:c r="C8" s="14"/>
      <x:c r="D8" s="14"/>
    </x:row>
    <x:row r="9" ht="32" customHeight="1">
      <x:c r="A9" s="12" t="str">
        <x:v>Dates</x:v>
      </x:c>
      <x:c r="B9" s="14" t="str">
        <x:v>Stored as real Excel dates/timestamps. Formula flags use the fixed as-of values in each Summary sheet.</x:v>
      </x:c>
      <x:c r="C9" s="14"/>
      <x:c r="D9" s="14"/>
    </x:row>
    <x:row r="10" ht="32" customHeight="1">
      <x:c r="A10" s="12" t="str">
        <x:v>Status fields</x:v>
      </x:c>
      <x:c r="B10" s="14" t="str">
        <x:v>Use approved values from the Master workbook Status_Values sheet; do not invent new states silently.</x:v>
      </x:c>
      <x:c r="C10" s="14"/>
      <x:c r="D10" s="14"/>
    </x:row>
    <x:row r="11" ht="44" customHeight="1">
      <x:c r="A11" s="12" t="str">
        <x:v>Health data</x:v>
      </x:c>
      <x:c r="B11" s="14" t="str">
        <x:v>Clinic and exam rows contain synthetic high-level fitness/restriction data only; no diagnoses or medications.</x:v>
      </x:c>
      <x:c r="C11" s="14"/>
      <x:c r="D11" s="14"/>
    </x:row>
    <x:row r="12" ht="44" customHeight="1">
      <x:c r="A12" s="12" t="str">
        <x:v>Usage</x:v>
      </x:c>
      <x:c r="B12" s="14" t="str">
        <x:v>Suitable for schema design, import testing, API development, UI wiring, automation tests and demo rehearsal.</x:v>
      </x:c>
      <x:c r="C12" s="14"/>
      <x:c r="D12" s="14"/>
    </x:row>
    <x:row r="14">
      <x:c r="A14" s="9" t="str">
        <x:v>Sheet</x:v>
      </x:c>
      <x:c r="B14" s="9" t="str">
        <x:v>Owner</x:v>
      </x:c>
      <x:c r="C14" s="9" t="str">
        <x:v>Purpose</x:v>
      </x:c>
      <x:c r="D14" s="9" t="str">
        <x:v>Rows</x:v>
      </x:c>
    </x:row>
    <x:row r="15">
      <x:c r="A15" t="str">
        <x:v>Incidents</x:v>
      </x:c>
      <x:c r="B15" t="str">
        <x:v>Member 1</x:v>
      </x:c>
      <x:c r="C15" t="str">
        <x:v>Incident and near-miss register</x:v>
      </x:c>
      <x:c r="D15" t="n">
        <x:v>12</x:v>
      </x:c>
    </x:row>
    <x:row r="16">
      <x:c r="A16" t="str">
        <x:v>Inspections</x:v>
      </x:c>
      <x:c r="B16" t="str">
        <x:v>Member 2</x:v>
      </x:c>
      <x:c r="C16" t="str">
        <x:v>Inspection schedule and completion</x:v>
      </x:c>
      <x:c r="D16" t="n">
        <x:v>10</x:v>
      </x:c>
    </x:row>
    <x:row r="17">
      <x:c r="A17" t="str">
        <x:v>Findings</x:v>
      </x:c>
      <x:c r="B17" t="str">
        <x:v>Member 2</x:v>
      </x:c>
      <x:c r="C17" t="str">
        <x:v>Inspection findings register</x:v>
      </x:c>
      <x:c r="D17" t="n">
        <x:v>12</x:v>
      </x:c>
    </x:row>
    <x:row r="18">
      <x:c r="A18" t="str">
        <x:v>CAPA</x:v>
      </x:c>
      <x:c r="B18" t="str">
        <x:v>Member 1 / Member 2</x:v>
      </x:c>
      <x:c r="C18" t="str">
        <x:v>Corrective and preventive actions</x:v>
      </x:c>
      <x:c r="D18" t="n">
        <x:v>15</x:v>
      </x:c>
    </x:row>
    <x:row r="19">
      <x:c r="A19" t="str">
        <x:v>Risk_Register</x:v>
      </x:c>
      <x:c r="B19" t="str">
        <x:v>Member 1</x:v>
      </x:c>
      <x:c r="C19" t="str">
        <x:v>HIRA risk register</x:v>
      </x:c>
      <x:c r="D19" t="n">
        <x:v>12</x:v>
      </x:c>
    </x:row>
    <x:row r="20">
      <x:c r="A20" t="str">
        <x:v>JSA</x:v>
      </x:c>
      <x:c r="B20" t="str">
        <x:v>Member 1</x:v>
      </x:c>
      <x:c r="C20" t="str">
        <x:v>Job Safety Analysis headers</x:v>
      </x:c>
      <x:c r="D20" t="n">
        <x:v>8</x:v>
      </x:c>
    </x:row>
    <x:row r="21">
      <x:c r="A21" t="str">
        <x:v>JSA_Steps</x:v>
      </x:c>
      <x:c r="B21" t="str">
        <x:v>Member 1</x:v>
      </x:c>
      <x:c r="C21" t="str">
        <x:v>Detailed JSA task steps</x:v>
      </x:c>
      <x:c r="D21" t="n">
        <x:v>24</x:v>
      </x:c>
    </x:row>
    <x:row r="22">
      <x:c r="A22" t="str">
        <x:v>Permits</x:v>
      </x:c>
      <x:c r="B22" t="str">
        <x:v>Member 1</x:v>
      </x:c>
      <x:c r="C22" t="str">
        <x:v>Permit-to-work register</x:v>
      </x:c>
      <x:c r="D22" t="n">
        <x:v>12</x:v>
      </x:c>
    </x:row>
    <x:row r="23">
      <x:c r="A23" t="str">
        <x:v>Permit_Approvals</x:v>
      </x:c>
      <x:c r="B23" t="str">
        <x:v>Member 1</x:v>
      </x:c>
      <x:c r="C23" t="str">
        <x:v>PTW workflow and signatures</x:v>
      </x:c>
      <x:c r="D23" t="n">
        <x:v>40</x:v>
      </x:c>
    </x:row>
    <x:row r="24">
      <x:c r="A24" t="str">
        <x:v>Permit_Checklist</x:v>
      </x:c>
      <x:c r="B24" t="str">
        <x:v>Member 1 + Member 3</x:v>
      </x:c>
      <x:c r="C24" t="str">
        <x:v>Mandatory PTW checklist responses</x:v>
      </x:c>
      <x:c r="D24" t="n">
        <x:v>48</x:v>
      </x:c>
    </x:row>
    <x:row r="25">
      <x:c r="A25" t="str">
        <x:v>Permit_Gas_Tests</x:v>
      </x:c>
      <x:c r="B25" t="str">
        <x:v>Member 1 + Member 3</x:v>
      </x:c>
      <x:c r="C25" t="str">
        <x:v>Confined-space atmospheric tests</x:v>
      </x:c>
      <x:c r="D25" t="n">
        <x:v>6</x:v>
      </x:c>
    </x:row>
    <x:row r="26">
      <x:c r="A26" t="str">
        <x:v>SIMOPS</x:v>
      </x:c>
      <x:c r="B26" t="str">
        <x:v>Member 1</x:v>
      </x:c>
      <x:c r="C26" t="str">
        <x:v>Simultaneous operations conflicts</x:v>
      </x:c>
      <x:c r="D26" t="n">
        <x:v>5</x:v>
      </x:c>
    </x:row>
    <x:row r="27">
      <x:c r="A27" t="str">
        <x:v>Incident_RCA</x:v>
      </x:c>
      <x:c r="B27" t="str">
        <x:v>Member 1</x:v>
      </x:c>
      <x:c r="C27" t="str">
        <x:v>5 Whys, Fishbone and Tripod investigation conclusions</x:v>
      </x:c>
      <x:c r="D27" t="n">
        <x:v>10</x:v>
      </x:c>
    </x:row>
    <x:row r="28">
      <x:c r="A28" t="str">
        <x:v>Inspection_Responses</x:v>
      </x:c>
      <x:c r="B28" t="str">
        <x:v>Member 2 + Member 3</x:v>
      </x:c>
      <x:c r="C28" t="str">
        <x:v>Mobile/web inspection checklist responses</x:v>
      </x:c>
      <x:c r="D28" t="n">
        <x:v>30</x:v>
      </x:c>
    </x:row>
    <x:row r="29">
      <x:c r="A29" t="str">
        <x:v>Monthly_KPIs</x:v>
      </x:c>
      <x:c r="B29" t="str">
        <x:v>Member 2 + Member 3</x:v>
      </x:c>
      <x:c r="C29" t="str">
        <x:v>Report and dashboard KPI inputs</x:v>
      </x:c>
      <x:c r="D29" t="n">
        <x:v>8</x:v>
      </x:c>
    </x:row>
    <x:row r="30">
      <x:c r="A30" t="str">
        <x:v>Report_Definitions</x:v>
      </x:c>
      <x:c r="B30" t="str">
        <x:v>Member 2 + Member 3</x:v>
      </x:c>
      <x:c r="C30" t="str">
        <x:v>Report builder definitions and schedules</x:v>
      </x:c>
      <x:c r="D30" t="n">
        <x:v>7</x:v>
      </x:c>
    </x:row>
    <x:row r="31">
      <x:c r="A31" t="str">
        <x:v>Report_Runs</x:v>
      </x:c>
      <x:c r="B31" t="str">
        <x:v>Member 2</x:v>
      </x:c>
      <x:c r="C31" t="str">
        <x:v>Synthetic report execution history</x:v>
      </x:c>
      <x:c r="D31" t="n">
        <x:v>7</x:v>
      </x:c>
    </x:row>
  </x:sheetData>
  <x:mergeCells>
    <x:mergeCell ref="A1:H1"/>
    <x:mergeCell ref="A2:H2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6" customHeight="1">
      <x:c r="A1" s="61" t="str">
        <x:v>ESCA HSE | Core Operations Summary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</x:row>
    <x:row r="2" ht="26" customHeight="1">
      <x:c r="A2" s="5" t="str">
        <x:v>Incident, inspection, CAPA, risk and PTW sample-data dashboard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1" t="str">
        <x:v>As-of date</x:v>
      </x:c>
      <x:c r="B3" s="62" t="n">
        <x:v>46247</x:v>
      </x:c>
    </x:row>
    <x:row r="4">
      <x:c r="A4" s="11" t="str">
        <x:v>As-of timestamp</x:v>
      </x:c>
      <x:c r="B4" s="63" t="n">
        <x:v>46247.375</x:v>
      </x:c>
    </x:row>
    <x:row r="6">
      <x:c r="A6" s="9" t="str">
        <x:v>KPI</x:v>
      </x:c>
      <x:c r="B6" s="9" t="str">
        <x:v>Value</x:v>
      </x:c>
      <x:c r="D6" s="8" t="str">
        <x:v>Severity</x:v>
      </x:c>
      <x:c r="E6" s="8" t="str">
        <x:v>Incident count</x:v>
      </x:c>
    </x:row>
    <x:row r="7">
      <x:c r="A7" s="65" t="str">
        <x:v>Incidents</x:v>
      </x:c>
      <x:c r="B7" s="67" t="n">
        <x:f>COUNTA('Incidents'!$A$5:$A$100)</x:f>
        <x:v>12</x:v>
      </x:c>
      <x:c r="D7" t="str">
        <x:v>MINOR</x:v>
      </x:c>
      <x:c r="E7" t="n">
        <x:f>COUNTIF('Incidents'!$G$5:$G$100,"MINOR")</x:f>
        <x:v>3</x:v>
      </x:c>
    </x:row>
    <x:row r="8">
      <x:c r="A8" s="69" t="str">
        <x:v>Open/in-progress incidents</x:v>
      </x:c>
      <x:c r="B8" s="71" t="n">
        <x:f>COUNTA('Incidents'!$A$5:$A$100)-COUNTIF('Incidents'!$L$5:$L$100,"CLOSED")</x:f>
        <x:v>3</x:v>
      </x:c>
      <x:c r="D8" t="str">
        <x:v>MODERATE</x:v>
      </x:c>
      <x:c r="E8" t="n">
        <x:f>COUNTIF('Incidents'!$G$5:$G$100,"MODERATE")</x:f>
        <x:v>4</x:v>
      </x:c>
    </x:row>
    <x:row r="9">
      <x:c r="A9" s="65" t="str">
        <x:v>Overdue CAPAs</x:v>
      </x:c>
      <x:c r="B9" s="67" t="n">
        <x:f>COUNTIF('CAPA'!$O$5:$O$100,"OVERDUE")</x:f>
        <x:v>5</x:v>
      </x:c>
      <x:c r="D9" t="str">
        <x:v>MAJOR</x:v>
      </x:c>
      <x:c r="E9" t="n">
        <x:f>COUNTIF('Incidents'!$G$5:$G$100,"MAJOR")</x:f>
        <x:v>3</x:v>
      </x:c>
    </x:row>
    <x:row r="10">
      <x:c r="A10" s="69" t="str">
        <x:v>Active permits</x:v>
      </x:c>
      <x:c r="B10" s="71" t="n">
        <x:f>COUNTIF('Permits'!$N$5:$N$100,"ACTIVE")</x:f>
        <x:v>5</x:v>
      </x:c>
      <x:c r="D10" t="str">
        <x:v>CRITICAL</x:v>
      </x:c>
      <x:c r="E10" t="n">
        <x:f>COUNTIF('Incidents'!$G$5:$G$100,"CRITICAL")</x:f>
        <x:v>2</x:v>
      </x:c>
    </x:row>
    <x:row r="11">
      <x:c r="A11" s="65" t="str">
        <x:v>Permit automation flags</x:v>
      </x:c>
      <x:c r="B11" s="67" t="n">
        <x:f>COUNTIF('Permits'!$R$5:$R$100,"OVERDUE")+COUNTIF('Permits'!$R$5:$R$100,"DUE_SOON")</x:f>
        <x:v>5</x:v>
      </x:c>
    </x:row>
    <x:row r="12">
      <x:c r="A12" s="69" t="str">
        <x:v>High/Critical risks</x:v>
      </x:c>
      <x:c r="B12" s="71" t="n">
        <x:f>COUNTIF('Risk_Register'!$I$5:$I$100,"HIGH")+COUNTIF('Risk_Register'!$I$5:$I$100,"CRITICAL")</x:f>
        <x:v>6</x:v>
      </x:c>
    </x:row>
    <x:row r="13">
      <x:c r="D13" s="8" t="str">
        <x:v>Month</x:v>
      </x:c>
      <x:c r="E13" s="8" t="str">
        <x:v>TRIR</x:v>
      </x:c>
      <x:c r="F13" s="8" t="str">
        <x:v>LTIFR</x:v>
      </x:c>
      <x:c r="G13" s="8" t="str">
        <x:v>Severity rate</x:v>
      </x:c>
    </x:row>
    <x:row r="14">
      <x:c r="D14" t="str">
        <x:f>'Monthly_KPIs'!B5</x:f>
        <x:v>2026-01</x:v>
      </x:c>
      <x:c r="E14" s="72" t="n">
        <x:f>'Monthly_KPIs'!K5</x:f>
        <x:v>1.25</x:v>
      </x:c>
      <x:c r="F14" s="72" t="n">
        <x:f>'Monthly_KPIs'!L5</x:f>
        <x:v>0</x:v>
      </x:c>
      <x:c r="G14" s="72" t="n">
        <x:f>'Monthly_KPIs'!M5</x:f>
        <x:v>0</x:v>
      </x:c>
    </x:row>
    <x:row r="15">
      <x:c r="D15" t="str">
        <x:f>'Monthly_KPIs'!B6</x:f>
        <x:v>2026-02</x:v>
      </x:c>
      <x:c r="E15" s="72" t="n">
        <x:f>'Monthly_KPIs'!K6</x:f>
        <x:v>2.5316455696202533</x:v>
      </x:c>
      <x:c r="F15" s="72" t="n">
        <x:f>'Monthly_KPIs'!L6</x:f>
        <x:v>0</x:v>
      </x:c>
      <x:c r="G15" s="72" t="n">
        <x:f>'Monthly_KPIs'!M6</x:f>
        <x:v>0</x:v>
      </x:c>
    </x:row>
    <x:row r="16">
      <x:c r="D16" t="str">
        <x:f>'Monthly_KPIs'!B7</x:f>
        <x:v>2026-03</x:v>
      </x:c>
      <x:c r="E16" s="72" t="n">
        <x:f>'Monthly_KPIs'!K7</x:f>
        <x:v>3.658536585365854</x:v>
      </x:c>
      <x:c r="F16" s="72" t="n">
        <x:f>'Monthly_KPIs'!L7</x:f>
        <x:v>6.097560975609756</x:v>
      </x:c>
      <x:c r="G16" s="72" t="n">
        <x:f>'Monthly_KPIs'!M7</x:f>
        <x:v>6.097560975609756</x:v>
      </x:c>
    </x:row>
    <x:row r="17">
      <x:c r="D17" t="str">
        <x:f>'Monthly_KPIs'!B8</x:f>
        <x:v>2026-04</x:v>
      </x:c>
      <x:c r="E17" s="72" t="n">
        <x:f>'Monthly_KPIs'!K8</x:f>
        <x:v>1.2345679012345678</x:v>
      </x:c>
      <x:c r="F17" s="72" t="n">
        <x:f>'Monthly_KPIs'!L8</x:f>
        <x:v>0</x:v>
      </x:c>
      <x:c r="G17" s="72" t="n">
        <x:f>'Monthly_KPIs'!M8</x:f>
        <x:v>0</x:v>
      </x:c>
    </x:row>
    <x:row r="18">
      <x:c r="D18" t="str">
        <x:f>'Monthly_KPIs'!B9</x:f>
        <x:v>2026-05</x:v>
      </x:c>
      <x:c r="E18" s="72" t="n">
        <x:f>'Monthly_KPIs'!K9</x:f>
        <x:v>2.4096385542168677</x:v>
      </x:c>
      <x:c r="F18" s="72" t="n">
        <x:f>'Monthly_KPIs'!L9</x:f>
        <x:v>0</x:v>
      </x:c>
      <x:c r="G18" s="72" t="n">
        <x:f>'Monthly_KPIs'!M9</x:f>
        <x:v>0</x:v>
      </x:c>
    </x:row>
    <x:row r="19">
      <x:c r="D19" t="str">
        <x:f>'Monthly_KPIs'!B10</x:f>
        <x:v>2026-06</x:v>
      </x:c>
      <x:c r="E19" s="72" t="n">
        <x:f>'Monthly_KPIs'!K10</x:f>
        <x:v>1.2121212121212122</x:v>
      </x:c>
      <x:c r="F19" s="72" t="n">
        <x:f>'Monthly_KPIs'!L10</x:f>
        <x:v>0</x:v>
      </x:c>
      <x:c r="G19" s="72" t="n">
        <x:f>'Monthly_KPIs'!M10</x:f>
        <x:v>0</x:v>
      </x:c>
    </x:row>
    <x:row r="20">
      <x:c r="D20" t="str">
        <x:f>'Monthly_KPIs'!B11</x:f>
        <x:v>2026-07</x:v>
      </x:c>
      <x:c r="E20" s="72" t="n">
        <x:f>'Monthly_KPIs'!K11</x:f>
        <x:v>2.380952380952381</x:v>
      </x:c>
      <x:c r="F20" s="72" t="n">
        <x:f>'Monthly_KPIs'!L11</x:f>
        <x:v>5.9523809523809526</x:v>
      </x:c>
      <x:c r="G20" s="72" t="n">
        <x:f>'Monthly_KPIs'!M11</x:f>
        <x:v>3.5714285714285716</x:v>
      </x:c>
    </x:row>
    <x:row r="21">
      <x:c r="D21" t="str">
        <x:f>'Monthly_KPIs'!B12</x:f>
        <x:v>2026-08</x:v>
      </x:c>
      <x:c r="E21" s="72" t="n">
        <x:f>'Monthly_KPIs'!K12</x:f>
        <x:v>1.4184397163120568</x:v>
      </x:c>
      <x:c r="F21" s="72" t="n">
        <x:f>'Monthly_KPIs'!L12</x:f>
        <x:v>0</x:v>
      </x:c>
      <x:c r="G21" s="72" t="n">
        <x:f>'Monthly_KPIs'!M12</x:f>
        <x:v>0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df74dab6d384a9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34" hidden="0" customWidth="1"/>
    <x:col min="10" max="10" width="18" hidden="0" customWidth="1"/>
    <x:col min="11" max="11" width="13" hidden="0" customWidth="1"/>
    <x:col min="12" max="12" width="18" hidden="0" customWidth="1"/>
    <x:col min="13" max="13" width="18" hidden="0" customWidth="1"/>
    <x:col min="14" max="14" width="13" hidden="0" customWidth="1"/>
    <x:col min="15" max="15" width="13" hidden="0" customWidth="1"/>
    <x:col min="16" max="16" width="18" hidden="0" customWidth="1"/>
  </x:cols>
  <x:sheetData>
    <x:row r="1" ht="32" customHeight="1">
      <x:c r="A1" s="17" t="str">
        <x:v>ESCA HSE | Incidents</x:v>
      </x:c>
      <x:c r="B1" s="17" t="str">
        <x:v>ESCA HSE | Incidents</x:v>
      </x:c>
      <x:c r="C1" s="17" t="str">
        <x:v>ESCA HSE | Incidents</x:v>
      </x:c>
      <x:c r="D1" s="17" t="str">
        <x:v>ESCA HSE | Incidents</x:v>
      </x:c>
      <x:c r="E1" s="17" t="str">
        <x:v>ESCA HSE | Incidents</x:v>
      </x:c>
      <x:c r="F1" s="17" t="str">
        <x:v>ESCA HSE | Incidents</x:v>
      </x:c>
      <x:c r="G1" s="17" t="str">
        <x:v>ESCA HSE | Incidents</x:v>
      </x:c>
      <x:c r="H1" s="17" t="str">
        <x:v>ESCA HSE | Incidents</x:v>
      </x:c>
      <x:c r="I1" s="17" t="str">
        <x:v>ESCA HSE | Incidents</x:v>
      </x:c>
      <x:c r="J1" s="17" t="str">
        <x:v>ESCA HSE | Incidents</x:v>
      </x:c>
      <x:c r="K1" s="17" t="str">
        <x:v>ESCA HSE | Incidents</x:v>
      </x:c>
      <x:c r="L1" s="17" t="str">
        <x:v>ESCA HSE | Incidents</x:v>
      </x:c>
      <x:c r="M1" s="17" t="str">
        <x:v>ESCA HSE | Incidents</x:v>
      </x:c>
      <x:c r="N1" s="17" t="str">
        <x:v>ESCA HSE | Incidents</x:v>
      </x:c>
      <x:c r="O1" s="17" t="str">
        <x:v>ESCA HSE | Incidents</x:v>
      </x:c>
      <x:c r="P1" s="17" t="str">
        <x:v>ESCA HSE | Incidents</x:v>
      </x:c>
    </x:row>
    <x:row r="2" ht="28" customHeight="1">
      <x:c r="A2" s="21" t="str">
        <x:v>Incident and near-miss register | Owner: Member 1 | Synthetic sample data | Snapshot: 2026-08-13</x:v>
      </x:c>
      <x:c r="B2" s="21" t="str">
        <x:v>Incident and near-miss register | Owner: Member 1 | Synthetic sample data | Snapshot: 2026-08-13</x:v>
      </x:c>
      <x:c r="C2" s="21" t="str">
        <x:v>Incident and near-miss register | Owner: Member 1 | Synthetic sample data | Snapshot: 2026-08-13</x:v>
      </x:c>
      <x:c r="D2" s="21" t="str">
        <x:v>Incident and near-miss register | Owner: Member 1 | Synthetic sample data | Snapshot: 2026-08-13</x:v>
      </x:c>
      <x:c r="E2" s="21" t="str">
        <x:v>Incident and near-miss register | Owner: Member 1 | Synthetic sample data | Snapshot: 2026-08-13</x:v>
      </x:c>
      <x:c r="F2" s="21" t="str">
        <x:v>Incident and near-miss register | Owner: Member 1 | Synthetic sample data | Snapshot: 2026-08-13</x:v>
      </x:c>
      <x:c r="G2" s="21" t="str">
        <x:v>Incident and near-miss register | Owner: Member 1 | Synthetic sample data | Snapshot: 2026-08-13</x:v>
      </x:c>
      <x:c r="H2" s="21" t="str">
        <x:v>Incident and near-miss register | Owner: Member 1 | Synthetic sample data | Snapshot: 2026-08-13</x:v>
      </x:c>
      <x:c r="I2" s="21" t="str">
        <x:v>Incident and near-miss register | Owner: Member 1 | Synthetic sample data | Snapshot: 2026-08-13</x:v>
      </x:c>
      <x:c r="J2" s="21" t="str">
        <x:v>Incident and near-miss register | Owner: Member 1 | Synthetic sample data | Snapshot: 2026-08-13</x:v>
      </x:c>
      <x:c r="K2" s="21" t="str">
        <x:v>Incident and near-miss register | Owner: Member 1 | Synthetic sample data | Snapshot: 2026-08-13</x:v>
      </x:c>
      <x:c r="L2" s="21" t="str">
        <x:v>Incident and near-miss register | Owner: Member 1 | Synthetic sample data | Snapshot: 2026-08-13</x:v>
      </x:c>
      <x:c r="M2" s="21" t="str">
        <x:v>Incident and near-miss register | Owner: Member 1 | Synthetic sample data | Snapshot: 2026-08-13</x:v>
      </x:c>
      <x:c r="N2" s="21" t="str">
        <x:v>Incident and near-miss register | Owner: Member 1 | Synthetic sample data | Snapshot: 2026-08-13</x:v>
      </x:c>
      <x:c r="O2" s="21" t="str">
        <x:v>Incident and near-miss register | Owner: Member 1 | Synthetic sample data | Snapshot: 2026-08-13</x:v>
      </x:c>
      <x:c r="P2" s="21" t="str">
        <x:v>Incident and near-miss register | Owner: Member 1 | Synthetic sample data | Snapshot: 2026-08-13</x:v>
      </x:c>
    </x:row>
    <x:row r="4" ht="30" customHeight="1">
      <x:c r="A4" s="26" t="str">
        <x:v>incident_id</x:v>
      </x:c>
      <x:c r="B4" s="26" t="str">
        <x:v>reported_at</x:v>
      </x:c>
      <x:c r="C4" s="26" t="str">
        <x:v>department_id</x:v>
      </x:c>
      <x:c r="D4" s="26" t="str">
        <x:v>zone_id</x:v>
      </x:c>
      <x:c r="E4" s="26" t="str">
        <x:v>reported_by</x:v>
      </x:c>
      <x:c r="F4" s="26" t="str">
        <x:v>incident_type</x:v>
      </x:c>
      <x:c r="G4" s="26" t="str">
        <x:v>severity</x:v>
      </x:c>
      <x:c r="H4" s="26" t="str">
        <x:v>title</x:v>
      </x:c>
      <x:c r="I4" s="26" t="str">
        <x:v>description</x:v>
      </x:c>
      <x:c r="J4" s="26" t="str">
        <x:v>injured_employee_id</x:v>
      </x:c>
      <x:c r="K4" s="26" t="str">
        <x:v>lost_days</x:v>
      </x:c>
      <x:c r="L4" s="26" t="str">
        <x:v>status</x:v>
      </x:c>
      <x:c r="M4" s="26" t="str">
        <x:v>investigation_owner_id</x:v>
      </x:c>
      <x:c r="N4" s="26" t="str">
        <x:v>target_close_date</x:v>
      </x:c>
      <x:c r="O4" s="26" t="str">
        <x:v>actual_close_date</x:v>
      </x:c>
      <x:c r="P4" s="26" t="str">
        <x:v>source</x:v>
      </x:c>
    </x:row>
    <x:row r="5" ht="24" customHeight="1">
      <x:c r="A5" s="31" t="str">
        <x:v>INC-2026-0089</x:v>
      </x:c>
      <x:c r="B5" s="32" t="n">
        <x:v>46240.2625</x:v>
      </x:c>
      <x:c r="C5" s="31" t="str">
        <x:v>DEP-MAINT</x:v>
      </x:c>
      <x:c r="D5" s="31" t="str">
        <x:v>ZN-M01</x:v>
      </x:c>
      <x:c r="E5" s="31" t="str">
        <x:v>EMP-015</x:v>
      </x:c>
      <x:c r="F5" s="31" t="str">
        <x:v>FIRST_AID</x:v>
      </x:c>
      <x:c r="G5" s="31" t="str">
        <x:v>MAJOR</x:v>
      </x:c>
      <x:c r="H5" s="31" t="str">
        <x:v>Hand cut during guard adjustment</x:v>
      </x:c>
      <x:c r="I5" s="33" t="str">
        <x:v>Synthetic hand injury while adjusting a machine guard; no personal details.</x:v>
      </x:c>
      <x:c r="J5" s="31" t="str">
        <x:v>EMP-021</x:v>
      </x:c>
      <x:c r="K5" s="34" t="n">
        <x:v>0</x:v>
      </x:c>
      <x:c r="L5" s="31" t="str">
        <x:v>INVESTIGATING</x:v>
      </x:c>
      <x:c r="M5" s="31" t="str">
        <x:v>EMP-010</x:v>
      </x:c>
      <x:c r="N5" s="35" t="n">
        <x:v>46254</x:v>
      </x:c>
      <x:c r="O5" s="35"/>
      <x:c r="P5" s="31" t="str">
        <x:v>WEB</x:v>
      </x:c>
    </x:row>
    <x:row r="6" ht="24" customHeight="1">
      <x:c r="A6" s="36" t="str">
        <x:v>INC-2026-0088</x:v>
      </x:c>
      <x:c r="B6" s="37" t="n">
        <x:v>46238.475694444445</x:v>
      </x:c>
      <x:c r="C6" s="36" t="str">
        <x:v>DEP-PROD-A</x:v>
      </x:c>
      <x:c r="D6" s="36" t="str">
        <x:v>ZN-A1</x:v>
      </x:c>
      <x:c r="E6" s="36" t="str">
        <x:v>EMP-013</x:v>
      </x:c>
      <x:c r="F6" s="36" t="str">
        <x:v>NEAR_MISS</x:v>
      </x:c>
      <x:c r="G6" s="36" t="str">
        <x:v>MODERATE</x:v>
      </x:c>
      <x:c r="H6" s="36" t="str">
        <x:v>Material roll shifted on trolley</x:v>
      </x:c>
      <x:c r="I6" s="38" t="str">
        <x:v>Roll shifted but was secured before falling.</x:v>
      </x:c>
      <x:c r="J6" s="36"/>
      <x:c r="K6" s="39" t="n">
        <x:v>0</x:v>
      </x:c>
      <x:c r="L6" s="36" t="str">
        <x:v>CAPA_ASSIGNED</x:v>
      </x:c>
      <x:c r="M6" s="36" t="str">
        <x:v>EMP-011</x:v>
      </x:c>
      <x:c r="N6" s="40" t="n">
        <x:v>46249</x:v>
      </x:c>
      <x:c r="O6" s="40"/>
      <x:c r="P6" s="36" t="str">
        <x:v>MOBILE</x:v>
      </x:c>
    </x:row>
    <x:row r="7" ht="24" customHeight="1">
      <x:c r="A7" s="36" t="str">
        <x:v>INC-2026-0087</x:v>
      </x:c>
      <x:c r="B7" s="37" t="n">
        <x:v>46236.34166666667</x:v>
      </x:c>
      <x:c r="C7" s="36" t="str">
        <x:v>DEP-WH</x:v>
      </x:c>
      <x:c r="D7" s="36" t="str">
        <x:v>ZN-W02</x:v>
      </x:c>
      <x:c r="E7" s="36" t="str">
        <x:v>EMP-016</x:v>
      </x:c>
      <x:c r="F7" s="36" t="str">
        <x:v>PROPERTY_DAMAGE</x:v>
      </x:c>
      <x:c r="G7" s="36" t="str">
        <x:v>MODERATE</x:v>
      </x:c>
      <x:c r="H7" s="36" t="str">
        <x:v>Forklift contacted empty rack</x:v>
      </x:c>
      <x:c r="I7" s="38" t="str">
        <x:v>Minor rack upright damage, no injury.</x:v>
      </x:c>
      <x:c r="J7" s="36"/>
      <x:c r="K7" s="39" t="n">
        <x:v>0</x:v>
      </x:c>
      <x:c r="L7" s="36" t="str">
        <x:v>PENDING_VERIFICATION</x:v>
      </x:c>
      <x:c r="M7" s="36" t="str">
        <x:v>EMP-011</x:v>
      </x:c>
      <x:c r="N7" s="40" t="n">
        <x:v>46246</x:v>
      </x:c>
      <x:c r="O7" s="40"/>
      <x:c r="P7" s="36" t="str">
        <x:v>MOBILE</x:v>
      </x:c>
    </x:row>
    <x:row r="8" ht="24" customHeight="1">
      <x:c r="A8" s="36" t="str">
        <x:v>INC-2026-0086</x:v>
      </x:c>
      <x:c r="B8" s="37" t="n">
        <x:v>46232.31597222222</x:v>
      </x:c>
      <x:c r="C8" s="36" t="str">
        <x:v>DEP-PROD-B</x:v>
      </x:c>
      <x:c r="D8" s="36" t="str">
        <x:v>ZN-B2</x:v>
      </x:c>
      <x:c r="E8" s="36" t="str">
        <x:v>EMP-014</x:v>
      </x:c>
      <x:c r="F8" s="36" t="str">
        <x:v>UNSAFE_CONDITION</x:v>
      </x:c>
      <x:c r="G8" s="36" t="str">
        <x:v>MINOR</x:v>
      </x:c>
      <x:c r="H8" s="36" t="str">
        <x:v>Emergency exit partly obstructed</x:v>
      </x:c>
      <x:c r="I8" s="38" t="str">
        <x:v>Packing materials reduced exit clearance.</x:v>
      </x:c>
      <x:c r="J8" s="36"/>
      <x:c r="K8" s="39" t="n">
        <x:v>0</x:v>
      </x:c>
      <x:c r="L8" s="36" t="str">
        <x:v>CLOSED</x:v>
      </x:c>
      <x:c r="M8" s="36" t="str">
        <x:v>EMP-012</x:v>
      </x:c>
      <x:c r="N8" s="40" t="n">
        <x:v>46239</x:v>
      </x:c>
      <x:c r="O8" s="40" t="n">
        <x:v>46237</x:v>
      </x:c>
      <x:c r="P8" s="36" t="str">
        <x:v>INSPECTION</x:v>
      </x:c>
    </x:row>
    <x:row r="9" ht="24" customHeight="1">
      <x:c r="A9" s="36" t="str">
        <x:v>INC-2026-0085</x:v>
      </x:c>
      <x:c r="B9" s="37" t="n">
        <x:v>46227.54513888889</x:v>
      </x:c>
      <x:c r="C9" s="36" t="str">
        <x:v>DEP-UTIL</x:v>
      </x:c>
      <x:c r="D9" s="36" t="str">
        <x:v>ZN-U01</x:v>
      </x:c>
      <x:c r="E9" s="36" t="str">
        <x:v>EMP-026</x:v>
      </x:c>
      <x:c r="F9" s="36" t="str">
        <x:v>NEAR_MISS</x:v>
      </x:c>
      <x:c r="G9" s="36" t="str">
        <x:v>MAJOR</x:v>
      </x:c>
      <x:c r="H9" s="36" t="str">
        <x:v>Unexpected voltage indication</x:v>
      </x:c>
      <x:c r="I9" s="38" t="str">
        <x:v>LOTO verification detected unexpected indication before work began.</x:v>
      </x:c>
      <x:c r="J9" s="36"/>
      <x:c r="K9" s="39" t="n">
        <x:v>0</x:v>
      </x:c>
      <x:c r="L9" s="36" t="str">
        <x:v>CLOSED</x:v>
      </x:c>
      <x:c r="M9" s="36" t="str">
        <x:v>EMP-010</x:v>
      </x:c>
      <x:c r="N9" s="40" t="n">
        <x:v>46236</x:v>
      </x:c>
      <x:c r="O9" s="40" t="n">
        <x:v>46234</x:v>
      </x:c>
      <x:c r="P9" s="36" t="str">
        <x:v>WEB</x:v>
      </x:c>
    </x:row>
    <x:row r="10" ht="24" customHeight="1">
      <x:c r="A10" s="36" t="str">
        <x:v>INC-2026-0084</x:v>
      </x:c>
      <x:c r="B10" s="37" t="n">
        <x:v>46221.22222222222</x:v>
      </x:c>
      <x:c r="C10" s="36" t="str">
        <x:v>DEP-PROD-A</x:v>
      </x:c>
      <x:c r="D10" s="36" t="str">
        <x:v>ZN-A2</x:v>
      </x:c>
      <x:c r="E10" s="36" t="str">
        <x:v>EMP-018</x:v>
      </x:c>
      <x:c r="F10" s="36" t="str">
        <x:v>LTI</x:v>
      </x:c>
      <x:c r="G10" s="36" t="str">
        <x:v>CRITICAL</x:v>
      </x:c>
      <x:c r="H10" s="36" t="str">
        <x:v>Slip near injection cooling area</x:v>
      </x:c>
      <x:c r="I10" s="38" t="str">
        <x:v>Synthetic lost-time case used only for KPI testing.</x:v>
      </x:c>
      <x:c r="J10" s="36" t="str">
        <x:v>EMP-018</x:v>
      </x:c>
      <x:c r="K10" s="39" t="n">
        <x:v>3</x:v>
      </x:c>
      <x:c r="L10" s="36" t="str">
        <x:v>CLOSED</x:v>
      </x:c>
      <x:c r="M10" s="36" t="str">
        <x:v>EMP-008</x:v>
      </x:c>
      <x:c r="N10" s="40" t="n">
        <x:v>46235</x:v>
      </x:c>
      <x:c r="O10" s="40" t="n">
        <x:v>46233</x:v>
      </x:c>
      <x:c r="P10" s="36" t="str">
        <x:v>MOBILE</x:v>
      </x:c>
    </x:row>
    <x:row r="11" ht="24" customHeight="1">
      <x:c r="A11" s="36" t="str">
        <x:v>INC-2026-0083</x:v>
      </x:c>
      <x:c r="B11" s="37" t="n">
        <x:v>46215.444444444445</x:v>
      </x:c>
      <x:c r="C11" s="36" t="str">
        <x:v>DEP-QC</x:v>
      </x:c>
      <x:c r="D11" s="36" t="str">
        <x:v>ZN-Q01</x:v>
      </x:c>
      <x:c r="E11" s="36" t="str">
        <x:v>EMP-025</x:v>
      </x:c>
      <x:c r="F11" s="36" t="str">
        <x:v>FIRST_AID</x:v>
      </x:c>
      <x:c r="G11" s="36" t="str">
        <x:v>MINOR</x:v>
      </x:c>
      <x:c r="H11" s="36" t="str">
        <x:v>Minor chemical splash on glove</x:v>
      </x:c>
      <x:c r="I11" s="38" t="str">
        <x:v>No skin contact; glove replaced and task reviewed.</x:v>
      </x:c>
      <x:c r="J11" s="36" t="str">
        <x:v>EMP-025</x:v>
      </x:c>
      <x:c r="K11" s="39" t="n">
        <x:v>0</x:v>
      </x:c>
      <x:c r="L11" s="36" t="str">
        <x:v>CLOSED</x:v>
      </x:c>
      <x:c r="M11" s="36" t="str">
        <x:v>EMP-012</x:v>
      </x:c>
      <x:c r="N11" s="40" t="n">
        <x:v>46225</x:v>
      </x:c>
      <x:c r="O11" s="40" t="n">
        <x:v>46222</x:v>
      </x:c>
      <x:c r="P11" s="36" t="str">
        <x:v>WEB</x:v>
      </x:c>
    </x:row>
    <x:row r="12" ht="24" customHeight="1">
      <x:c r="A12" s="36" t="str">
        <x:v>INC-2026-0082</x:v>
      </x:c>
      <x:c r="B12" s="37" t="n">
        <x:v>46203.28472222222</x:v>
      </x:c>
      <x:c r="C12" s="36" t="str">
        <x:v>DEP-WH</x:v>
      </x:c>
      <x:c r="D12" s="36" t="str">
        <x:v>ZN-W01</x:v>
      </x:c>
      <x:c r="E12" s="36" t="str">
        <x:v>EMP-024</x:v>
      </x:c>
      <x:c r="F12" s="36" t="str">
        <x:v>NEAR_MISS</x:v>
      </x:c>
      <x:c r="G12" s="36" t="str">
        <x:v>MODERATE</x:v>
      </x:c>
      <x:c r="H12" s="36" t="str">
        <x:v>Pallet wrap caught on wheel</x:v>
      </x:c>
      <x:c r="I12" s="38" t="str">
        <x:v>Forklift stopped before loss of control.</x:v>
      </x:c>
      <x:c r="J12" s="36"/>
      <x:c r="K12" s="39" t="n">
        <x:v>0</x:v>
      </x:c>
      <x:c r="L12" s="36" t="str">
        <x:v>CLOSED</x:v>
      </x:c>
      <x:c r="M12" s="36" t="str">
        <x:v>EMP-011</x:v>
      </x:c>
      <x:c r="N12" s="40" t="n">
        <x:v>46213</x:v>
      </x:c>
      <x:c r="O12" s="40" t="n">
        <x:v>46211</x:v>
      </x:c>
      <x:c r="P12" s="36" t="str">
        <x:v>MOBILE</x:v>
      </x:c>
    </x:row>
    <x:row r="13" ht="24" customHeight="1">
      <x:c r="A13" s="36" t="str">
        <x:v>INC-2026-0081</x:v>
      </x:c>
      <x:c r="B13" s="37" t="n">
        <x:v>46191.506944444445</x:v>
      </x:c>
      <x:c r="C13" s="36" t="str">
        <x:v>DEP-MAINT</x:v>
      </x:c>
      <x:c r="D13" s="36" t="str">
        <x:v>ZN-M01</x:v>
      </x:c>
      <x:c r="E13" s="36" t="str">
        <x:v>EMP-032</x:v>
      </x:c>
      <x:c r="F13" s="36" t="str">
        <x:v>UNSAFE_ACT</x:v>
      </x:c>
      <x:c r="G13" s="36" t="str">
        <x:v>MODERATE</x:v>
      </x:c>
      <x:c r="H13" s="36" t="str">
        <x:v>Grinding without face shield</x:v>
      </x:c>
      <x:c r="I13" s="38" t="str">
        <x:v>Work stopped and PPE corrected immediately.</x:v>
      </x:c>
      <x:c r="J13" s="36"/>
      <x:c r="K13" s="39" t="n">
        <x:v>0</x:v>
      </x:c>
      <x:c r="L13" s="36" t="str">
        <x:v>CLOSED</x:v>
      </x:c>
      <x:c r="M13" s="36" t="str">
        <x:v>EMP-010</x:v>
      </x:c>
      <x:c r="N13" s="40" t="n">
        <x:v>46198</x:v>
      </x:c>
      <x:c r="O13" s="40" t="n">
        <x:v>46193</x:v>
      </x:c>
      <x:c r="P13" s="36" t="str">
        <x:v>AI_EVENT</x:v>
      </x:c>
    </x:row>
    <x:row r="14" ht="24" customHeight="1">
      <x:c r="A14" s="36" t="str">
        <x:v>INC-2026-0080</x:v>
      </x:c>
      <x:c r="B14" s="37" t="n">
        <x:v>46170.38888888889</x:v>
      </x:c>
      <x:c r="C14" s="36" t="str">
        <x:v>DEP-PROD-B</x:v>
      </x:c>
      <x:c r="D14" s="36" t="str">
        <x:v>ZN-B1</x:v>
      </x:c>
      <x:c r="E14" s="36" t="str">
        <x:v>EMP-019</x:v>
      </x:c>
      <x:c r="F14" s="36" t="str">
        <x:v>PROPERTY_DAMAGE</x:v>
      </x:c>
      <x:c r="G14" s="36" t="str">
        <x:v>MINOR</x:v>
      </x:c>
      <x:c r="H14" s="36" t="str">
        <x:v>Sensor bracket bent</x:v>
      </x:c>
      <x:c r="I14" s="38" t="str">
        <x:v>Bracket damaged during changeover; no production loss.</x:v>
      </x:c>
      <x:c r="J14" s="36"/>
      <x:c r="K14" s="39" t="n">
        <x:v>0</x:v>
      </x:c>
      <x:c r="L14" s="36" t="str">
        <x:v>CLOSED</x:v>
      </x:c>
      <x:c r="M14" s="36" t="str">
        <x:v>EMP-012</x:v>
      </x:c>
      <x:c r="N14" s="40" t="n">
        <x:v>46178</x:v>
      </x:c>
      <x:c r="O14" s="40" t="n">
        <x:v>46176</x:v>
      </x:c>
      <x:c r="P14" s="36" t="str">
        <x:v>WEB</x:v>
      </x:c>
    </x:row>
    <x:row r="15" ht="24" customHeight="1">
      <x:c r="A15" s="36" t="str">
        <x:v>INC-2026-0079</x:v>
      </x:c>
      <x:c r="B15" s="37" t="n">
        <x:v>46126.20486111111</x:v>
      </x:c>
      <x:c r="C15" s="36" t="str">
        <x:v>DEP-UTIL</x:v>
      </x:c>
      <x:c r="D15" s="36" t="str">
        <x:v>ZN-U02</x:v>
      </x:c>
      <x:c r="E15" s="36" t="str">
        <x:v>EMP-027</x:v>
      </x:c>
      <x:c r="F15" s="36" t="str">
        <x:v>NEAR_MISS</x:v>
      </x:c>
      <x:c r="G15" s="36" t="str">
        <x:v>MAJOR</x:v>
      </x:c>
      <x:c r="H15" s="36" t="str">
        <x:v>Low oxygen detected before entry</x:v>
      </x:c>
      <x:c r="I15" s="38" t="str">
        <x:v>Entry prevented by pre-entry gas test.</x:v>
      </x:c>
      <x:c r="J15" s="36"/>
      <x:c r="K15" s="39" t="n">
        <x:v>0</x:v>
      </x:c>
      <x:c r="L15" s="36" t="str">
        <x:v>CLOSED</x:v>
      </x:c>
      <x:c r="M15" s="36" t="str">
        <x:v>EMP-008</x:v>
      </x:c>
      <x:c r="N15" s="40" t="n">
        <x:v>46136</x:v>
      </x:c>
      <x:c r="O15" s="40" t="n">
        <x:v>46132</x:v>
      </x:c>
      <x:c r="P15" s="36" t="str">
        <x:v>IOT_EVENT</x:v>
      </x:c>
    </x:row>
    <x:row r="16" ht="24" customHeight="1">
      <x:c r="A16" s="41" t="str">
        <x:v>INC-2026-0078</x:v>
      </x:c>
      <x:c r="B16" s="42" t="n">
        <x:v>46091.34375</x:v>
      </x:c>
      <x:c r="C16" s="41" t="str">
        <x:v>DEP-WH</x:v>
      </x:c>
      <x:c r="D16" s="41" t="str">
        <x:v>ZN-W02</x:v>
      </x:c>
      <x:c r="E16" s="41" t="str">
        <x:v>EMP-023</x:v>
      </x:c>
      <x:c r="F16" s="41" t="str">
        <x:v>LTI</x:v>
      </x:c>
      <x:c r="G16" s="41" t="str">
        <x:v>CRITICAL</x:v>
      </x:c>
      <x:c r="H16" s="41" t="str">
        <x:v>Ankle injury in loading area</x:v>
      </x:c>
      <x:c r="I16" s="43" t="str">
        <x:v>Synthetic historical LTI aligned with dashboard narrative.</x:v>
      </x:c>
      <x:c r="J16" s="41" t="str">
        <x:v>EMP-023</x:v>
      </x:c>
      <x:c r="K16" s="44" t="n">
        <x:v>5</x:v>
      </x:c>
      <x:c r="L16" s="41" t="str">
        <x:v>CLOSED</x:v>
      </x:c>
      <x:c r="M16" s="41" t="str">
        <x:v>EMP-008</x:v>
      </x:c>
      <x:c r="N16" s="45" t="n">
        <x:v>46111</x:v>
      </x:c>
      <x:c r="O16" s="45" t="n">
        <x:v>46109</x:v>
      </x:c>
      <x:c r="P16" s="41" t="str">
        <x:v>MOBILE</x:v>
      </x:c>
    </x:row>
  </x:sheetData>
  <x:mergeCells>
    <x:mergeCell ref="A1:P1"/>
    <x:mergeCell ref="A2:P2"/>
  </x:mergeCells>
  <x:conditionalFormatting sqref="G5:G16">
    <x:cfRule type="containsText" dxfId="0" priority="1" operator="containsText" text="CRITICAL"/>
    <x:cfRule type="containsText" dxfId="1" priority="2" operator="containsText" text="EXPIRED"/>
    <x:cfRule type="containsText" dxfId="2" priority="3" operator="containsText" text="FAILED"/>
    <x:cfRule type="containsText" dxfId="3" priority="4" operator="containsText" text="OVERDUE"/>
    <x:cfRule type="containsText" dxfId="4" priority="5" operator="containsText" text="REJECTED"/>
    <x:cfRule type="containsText" dxfId="5" priority="6" operator="containsText" text="OUT_OF_SERVICE"/>
    <x:cfRule type="containsText" dxfId="6" priority="7" operator="containsText" text="BELOW_THRESHOLD"/>
    <x:cfRule type="containsText" dxfId="7" priority="8" operator="containsText" text="HIGH"/>
    <x:cfRule type="containsText" dxfId="8" priority="9" operator="containsText" text="WARNING"/>
    <x:cfRule type="containsText" dxfId="9" priority="10" operator="containsText" text="DUE_SOON"/>
    <x:cfRule type="containsText" dxfId="10" priority="11" operator="containsText" text="OPEN"/>
    <x:cfRule type="containsText" dxfId="11" priority="12" operator="containsText" text="PENDING"/>
    <x:cfRule type="containsText" dxfId="12" priority="13" operator="containsText" text="SUSPENDED"/>
    <x:cfRule type="containsText" dxfId="13" priority="14" operator="containsText" text="TESTING"/>
    <x:cfRule type="containsText" dxfId="14" priority="15" operator="containsText" text="PARTIAL_FAILURE"/>
    <x:cfRule type="containsText" dxfId="15" priority="16" operator="containsText" text="LOW_STOCK"/>
    <x:cfRule type="containsText" dxfId="16" priority="17" operator="containsText" text="ACTIVE"/>
    <x:cfRule type="containsText" dxfId="17" priority="18" operator="containsText" text="VALID"/>
    <x:cfRule type="containsText" dxfId="18" priority="19" operator="containsText" text="SUCCESS"/>
    <x:cfRule type="containsText" dxfId="19" priority="20" operator="containsText" text="COMPLETED"/>
    <x:cfRule type="containsText" dxfId="20" priority="21" operator="containsText" text="CLOSED"/>
    <x:cfRule type="containsText" dxfId="21" priority="22" operator="containsText" text="CONNECTED"/>
    <x:cfRule type="containsText" dxfId="22" priority="23" operator="containsText" text="NORMAL"/>
    <x:cfRule type="containsText" dxfId="23" priority="24" operator="containsText" text="VERIFIED"/>
    <x:cfRule type="containsText" dxfId="24" priority="25" operator="containsText" text="RESOLVED"/>
    <x:cfRule type="containsText" dxfId="25" priority="26" operator="containsText" text="PASS"/>
    <x:cfRule type="containsText" dxfId="26" priority="27" operator="containsText" text="OK"/>
    <x:cfRule type="containsText" dxfId="27" priority="28" operator="containsText" text="INFO"/>
    <x:cfRule type="containsText" dxfId="28" priority="29" operator="containsText" text="DRAFT"/>
    <x:cfRule type="containsText" dxfId="29" priority="30" operator="containsText" text="SCHEDULED"/>
    <x:cfRule type="containsText" dxfId="30" priority="31" operator="containsText" text="IN_PROGRESS"/>
    <x:cfRule type="containsText" dxfId="31" priority="32" operator="containsText" text="MODEL_REVIEW"/>
    <x:cfRule type="containsText" dxfId="32" priority="33" operator="containsText" text="READ"/>
  </x:conditionalFormatting>
  <x:conditionalFormatting sqref="L5:L16">
    <x:cfRule type="containsText" dxfId="33" priority="34" operator="containsText" text="CRITICAL"/>
    <x:cfRule type="containsText" dxfId="34" priority="35" operator="containsText" text="EXPIRED"/>
    <x:cfRule type="containsText" dxfId="35" priority="36" operator="containsText" text="FAILED"/>
    <x:cfRule type="containsText" dxfId="36" priority="37" operator="containsText" text="OVERDUE"/>
    <x:cfRule type="containsText" dxfId="37" priority="38" operator="containsText" text="REJECTED"/>
    <x:cfRule type="containsText" dxfId="38" priority="39" operator="containsText" text="OUT_OF_SERVICE"/>
    <x:cfRule type="containsText" dxfId="39" priority="40" operator="containsText" text="BELOW_THRESHOLD"/>
    <x:cfRule type="containsText" dxfId="40" priority="41" operator="containsText" text="HIGH"/>
    <x:cfRule type="containsText" dxfId="41" priority="42" operator="containsText" text="WARNING"/>
    <x:cfRule type="containsText" dxfId="42" priority="43" operator="containsText" text="DUE_SOON"/>
    <x:cfRule type="containsText" dxfId="43" priority="44" operator="containsText" text="OPEN"/>
    <x:cfRule type="containsText" dxfId="44" priority="45" operator="containsText" text="PENDING"/>
    <x:cfRule type="containsText" dxfId="45" priority="46" operator="containsText" text="SUSPENDED"/>
    <x:cfRule type="containsText" dxfId="46" priority="47" operator="containsText" text="TESTING"/>
    <x:cfRule type="containsText" dxfId="47" priority="48" operator="containsText" text="PARTIAL_FAILURE"/>
    <x:cfRule type="containsText" dxfId="48" priority="49" operator="containsText" text="LOW_STOCK"/>
    <x:cfRule type="containsText" dxfId="49" priority="50" operator="containsText" text="ACTIVE"/>
    <x:cfRule type="containsText" dxfId="50" priority="51" operator="containsText" text="VALID"/>
    <x:cfRule type="containsText" dxfId="51" priority="52" operator="containsText" text="SUCCESS"/>
    <x:cfRule type="containsText" dxfId="52" priority="53" operator="containsText" text="COMPLETED"/>
    <x:cfRule type="containsText" dxfId="53" priority="54" operator="containsText" text="CLOSED"/>
    <x:cfRule type="containsText" dxfId="54" priority="55" operator="containsText" text="CONNECTED"/>
    <x:cfRule type="containsText" dxfId="55" priority="56" operator="containsText" text="NORMAL"/>
    <x:cfRule type="containsText" dxfId="56" priority="57" operator="containsText" text="VERIFIED"/>
    <x:cfRule type="containsText" dxfId="57" priority="58" operator="containsText" text="RESOLVED"/>
    <x:cfRule type="containsText" dxfId="58" priority="59" operator="containsText" text="PASS"/>
    <x:cfRule type="containsText" dxfId="59" priority="60" operator="containsText" text="OK"/>
    <x:cfRule type="containsText" dxfId="60" priority="61" operator="containsText" text="INFO"/>
    <x:cfRule type="containsText" dxfId="61" priority="62" operator="containsText" text="DRAFT"/>
    <x:cfRule type="containsText" dxfId="62" priority="63" operator="containsText" text="SCHEDULED"/>
    <x:cfRule type="containsText" dxfId="63" priority="64" operator="containsText" text="IN_PROGRESS"/>
    <x:cfRule type="containsText" dxfId="64" priority="65" operator="containsText" text="MODEL_REVIEW"/>
    <x:cfRule type="containsText" dxfId="65" priority="66" operator="containsText" text="READ"/>
  </x:conditionalFormatting>
  <x:dataValidations count="4">
    <x:dataValidation type="list" sqref="F5:F16">
      <x:formula1>"LTI,FIRST_AID,NEAR_MISS,UNSAFE_CONDITION,UNSAFE_ACT,PROPERTY_DAMAGE"</x:formula1>
    </x:dataValidation>
    <x:dataValidation type="list" sqref="G5:G16">
      <x:formula1>"MINOR,MODERATE,MAJOR,CRITICAL"</x:formula1>
    </x:dataValidation>
    <x:dataValidation type="list" sqref="L5:L16">
      <x:formula1>"REPORTED,CLASSIFIED,INVESTIGATING,CAPA_ASSIGNED,PENDING_VERIFICATION,CLOSED"</x:formula1>
    </x:dataValidation>
    <x:dataValidation type="list" sqref="P5:P16">
      <x:formula1>"WEB,MOBILE,INSPECTION,AI_EVENT,IOT_EVENT"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2f7090c7842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3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2" customHeight="1">
      <x:c r="A1" s="17" t="str">
        <x:v>ESCA HSE | Inspections</x:v>
      </x:c>
      <x:c r="B1" s="17" t="str">
        <x:v>ESCA HSE | Inspections</x:v>
      </x:c>
      <x:c r="C1" s="17" t="str">
        <x:v>ESCA HSE | Inspections</x:v>
      </x:c>
      <x:c r="D1" s="17" t="str">
        <x:v>ESCA HSE | Inspections</x:v>
      </x:c>
      <x:c r="E1" s="17" t="str">
        <x:v>ESCA HSE | Inspections</x:v>
      </x:c>
      <x:c r="F1" s="17" t="str">
        <x:v>ESCA HSE | Inspections</x:v>
      </x:c>
      <x:c r="G1" s="17" t="str">
        <x:v>ESCA HSE | Inspections</x:v>
      </x:c>
      <x:c r="H1" s="17" t="str">
        <x:v>ESCA HSE | Inspections</x:v>
      </x:c>
      <x:c r="I1" s="17" t="str">
        <x:v>ESCA HSE | Inspections</x:v>
      </x:c>
      <x:c r="J1" s="17" t="str">
        <x:v>ESCA HSE | Inspections</x:v>
      </x:c>
      <x:c r="K1" s="17" t="str">
        <x:v>ESCA HSE | Inspections</x:v>
      </x:c>
      <x:c r="L1" s="17" t="str">
        <x:v>ESCA HSE | Inspections</x:v>
      </x:c>
    </x:row>
    <x:row r="2" ht="28" customHeight="1">
      <x:c r="A2" s="21" t="str">
        <x:v>Inspection schedule and completion | Owner: Member 2 | Synthetic sample data | Snapshot: 2026-08-13</x:v>
      </x:c>
      <x:c r="B2" s="21" t="str">
        <x:v>Inspection schedule and completion | Owner: Member 2 | Synthetic sample data | Snapshot: 2026-08-13</x:v>
      </x:c>
      <x:c r="C2" s="21" t="str">
        <x:v>Inspection schedule and completion | Owner: Member 2 | Synthetic sample data | Snapshot: 2026-08-13</x:v>
      </x:c>
      <x:c r="D2" s="21" t="str">
        <x:v>Inspection schedule and completion | Owner: Member 2 | Synthetic sample data | Snapshot: 2026-08-13</x:v>
      </x:c>
      <x:c r="E2" s="21" t="str">
        <x:v>Inspection schedule and completion | Owner: Member 2 | Synthetic sample data | Snapshot: 2026-08-13</x:v>
      </x:c>
      <x:c r="F2" s="21" t="str">
        <x:v>Inspection schedule and completion | Owner: Member 2 | Synthetic sample data | Snapshot: 2026-08-13</x:v>
      </x:c>
      <x:c r="G2" s="21" t="str">
        <x:v>Inspection schedule and completion | Owner: Member 2 | Synthetic sample data | Snapshot: 2026-08-13</x:v>
      </x:c>
      <x:c r="H2" s="21" t="str">
        <x:v>Inspection schedule and completion | Owner: Member 2 | Synthetic sample data | Snapshot: 2026-08-13</x:v>
      </x:c>
      <x:c r="I2" s="21" t="str">
        <x:v>Inspection schedule and completion | Owner: Member 2 | Synthetic sample data | Snapshot: 2026-08-13</x:v>
      </x:c>
      <x:c r="J2" s="21" t="str">
        <x:v>Inspection schedule and completion | Owner: Member 2 | Synthetic sample data | Snapshot: 2026-08-13</x:v>
      </x:c>
      <x:c r="K2" s="21" t="str">
        <x:v>Inspection schedule and completion | Owner: Member 2 | Synthetic sample data | Snapshot: 2026-08-13</x:v>
      </x:c>
      <x:c r="L2" s="21" t="str">
        <x:v>Inspection schedule and completion | Owner: Member 2 | Synthetic sample data | Snapshot: 2026-08-13</x:v>
      </x:c>
    </x:row>
    <x:row r="4" ht="30" customHeight="1">
      <x:c r="A4" s="26" t="str">
        <x:v>inspection_id</x:v>
      </x:c>
      <x:c r="B4" s="26" t="str">
        <x:v>inspection_type</x:v>
      </x:c>
      <x:c r="C4" s="26" t="str">
        <x:v>department_id</x:v>
      </x:c>
      <x:c r="D4" s="26" t="str">
        <x:v>zone_id</x:v>
      </x:c>
      <x:c r="E4" s="26" t="str">
        <x:v>scheduled_at</x:v>
      </x:c>
      <x:c r="F4" s="26" t="str">
        <x:v>completed_at</x:v>
      </x:c>
      <x:c r="G4" s="26" t="str">
        <x:v>lead_inspector_id</x:v>
      </x:c>
      <x:c r="H4" s="26" t="str">
        <x:v>status</x:v>
      </x:c>
      <x:c r="I4" s="26" t="str">
        <x:v>score_pct</x:v>
      </x:c>
      <x:c r="J4" s="26" t="str">
        <x:v>mobile_mode</x:v>
      </x:c>
      <x:c r="K4" s="26" t="str">
        <x:v>checklist_version</x:v>
      </x:c>
      <x:c r="L4" s="26" t="str">
        <x:v>notes</x:v>
      </x:c>
    </x:row>
    <x:row r="5" ht="24" customHeight="1">
      <x:c r="A5" s="31" t="str">
        <x:v>INS-2026-0129</x:v>
      </x:c>
      <x:c r="B5" s="31" t="str">
        <x:v>SAFETY_WALK</x:v>
      </x:c>
      <x:c r="C5" s="31" t="str">
        <x:v>DEP-PROD-A</x:v>
      </x:c>
      <x:c r="D5" s="31" t="str">
        <x:v>ZN-A1</x:v>
      </x:c>
      <x:c r="E5" s="32" t="n">
        <x:v>46246.291666666664</x:v>
      </x:c>
      <x:c r="F5" s="32" t="n">
        <x:v>46246.336805555555</x:v>
      </x:c>
      <x:c r="G5" s="31" t="str">
        <x:v>EMP-010</x:v>
      </x:c>
      <x:c r="H5" s="31" t="str">
        <x:v>COMPLETED</x:v>
      </x:c>
      <x:c r="I5" s="47" t="n">
        <x:v>0.82</x:v>
      </x:c>
      <x:c r="J5" s="31" t="str">
        <x:v>ONLINE</x:v>
      </x:c>
      <x:c r="K5" s="31" t="str">
        <x:v>SW-3.2</x:v>
      </x:c>
      <x:c r="L5" s="33" t="str">
        <x:v>Three corrective actions generated.</x:v>
      </x:c>
    </x:row>
    <x:row r="6" ht="24" customHeight="1">
      <x:c r="A6" s="36" t="str">
        <x:v>INS-2026-0128</x:v>
      </x:c>
      <x:c r="B6" s="36" t="str">
        <x:v>SAFETY_WALK</x:v>
      </x:c>
      <x:c r="C6" s="36" t="str">
        <x:v>DEP-WH</x:v>
      </x:c>
      <x:c r="D6" s="36" t="str">
        <x:v>ZN-W01</x:v>
      </x:c>
      <x:c r="E6" s="37" t="n">
        <x:v>46244.291666666664</x:v>
      </x:c>
      <x:c r="F6" s="37"/>
      <x:c r="G6" s="36" t="str">
        <x:v>EMP-011</x:v>
      </x:c>
      <x:c r="H6" s="36" t="str">
        <x:v>OVERDUE</x:v>
      </x:c>
      <x:c r="I6" s="48"/>
      <x:c r="J6" s="36" t="str">
        <x:v>OFFLINE</x:v>
      </x:c>
      <x:c r="K6" s="36" t="str">
        <x:v>SW-3.2</x:v>
      </x:c>
      <x:c r="L6" s="38" t="str">
        <x:v>Not started by due time.</x:v>
      </x:c>
    </x:row>
    <x:row r="7" ht="24" customHeight="1">
      <x:c r="A7" s="36" t="str">
        <x:v>INS-2026-0127</x:v>
      </x:c>
      <x:c r="B7" s="36" t="str">
        <x:v>FIRE_READINESS</x:v>
      </x:c>
      <x:c r="C7" s="36" t="str">
        <x:v>DEP-PROD-A</x:v>
      </x:c>
      <x:c r="D7" s="36" t="str">
        <x:v>ZN-A1</x:v>
      </x:c>
      <x:c r="E7" s="37" t="n">
        <x:v>46242.25</x:v>
      </x:c>
      <x:c r="F7" s="37" t="n">
        <x:v>46242.29861111111</x:v>
      </x:c>
      <x:c r="G7" s="36" t="str">
        <x:v>EMP-012</x:v>
      </x:c>
      <x:c r="H7" s="36" t="str">
        <x:v>COMPLETED</x:v>
      </x:c>
      <x:c r="I7" s="48" t="n">
        <x:v>0.88</x:v>
      </x:c>
      <x:c r="J7" s="36" t="str">
        <x:v>ONLINE</x:v>
      </x:c>
      <x:c r="K7" s="36" t="str">
        <x:v>FR-2.1</x:v>
      </x:c>
      <x:c r="L7" s="38" t="str">
        <x:v>One expired extinguisher found.</x:v>
      </x:c>
    </x:row>
    <x:row r="8" ht="24" customHeight="1">
      <x:c r="A8" s="36" t="str">
        <x:v>INS-2026-0126</x:v>
      </x:c>
      <x:c r="B8" s="36" t="str">
        <x:v>ELECTRICAL</x:v>
      </x:c>
      <x:c r="C8" s="36" t="str">
        <x:v>DEP-UTIL</x:v>
      </x:c>
      <x:c r="D8" s="36" t="str">
        <x:v>ZN-U01</x:v>
      </x:c>
      <x:c r="E8" s="37" t="n">
        <x:v>46240.208333333336</x:v>
      </x:c>
      <x:c r="F8" s="37" t="n">
        <x:v>46240.270833333336</x:v>
      </x:c>
      <x:c r="G8" s="36" t="str">
        <x:v>EMP-010</x:v>
      </x:c>
      <x:c r="H8" s="36" t="str">
        <x:v>COMPLETED</x:v>
      </x:c>
      <x:c r="I8" s="48" t="n">
        <x:v>0.94</x:v>
      </x:c>
      <x:c r="J8" s="36" t="str">
        <x:v>ONLINE</x:v>
      </x:c>
      <x:c r="K8" s="36" t="str">
        <x:v>EL-1.4</x:v>
      </x:c>
      <x:c r="L8" s="38" t="str">
        <x:v>No major finding.</x:v>
      </x:c>
    </x:row>
    <x:row r="9" ht="24" customHeight="1">
      <x:c r="A9" s="36" t="str">
        <x:v>INS-2026-0125</x:v>
      </x:c>
      <x:c r="B9" s="36" t="str">
        <x:v>CHEMICAL_STORAGE</x:v>
      </x:c>
      <x:c r="C9" s="36" t="str">
        <x:v>DEP-WH</x:v>
      </x:c>
      <x:c r="D9" s="36" t="str">
        <x:v>ZN-CHEM</x:v>
      </x:c>
      <x:c r="E9" s="37" t="n">
        <x:v>46239.333333333336</x:v>
      </x:c>
      <x:c r="F9" s="37" t="n">
        <x:v>46239.38888888889</x:v>
      </x:c>
      <x:c r="G9" s="36" t="str">
        <x:v>EMP-012</x:v>
      </x:c>
      <x:c r="H9" s="36" t="str">
        <x:v>COMPLETED</x:v>
      </x:c>
      <x:c r="I9" s="48" t="n">
        <x:v>0.76</x:v>
      </x:c>
      <x:c r="J9" s="36" t="str">
        <x:v>ONLINE</x:v>
      </x:c>
      <x:c r="K9" s="36" t="str">
        <x:v>CH-2.0</x:v>
      </x:c>
      <x:c r="L9" s="38" t="str">
        <x:v>Two segregation findings.</x:v>
      </x:c>
    </x:row>
    <x:row r="10" ht="24" customHeight="1">
      <x:c r="A10" s="36" t="str">
        <x:v>INS-2026-0124</x:v>
      </x:c>
      <x:c r="B10" s="36" t="str">
        <x:v>PPE_COMPLIANCE</x:v>
      </x:c>
      <x:c r="C10" s="36" t="str">
        <x:v>DEP-PROD-B</x:v>
      </x:c>
      <x:c r="D10" s="36" t="str">
        <x:v>ZN-B1</x:v>
      </x:c>
      <x:c r="E10" s="37" t="n">
        <x:v>46237.458333333336</x:v>
      </x:c>
      <x:c r="F10" s="37" t="n">
        <x:v>46237.48611111111</x:v>
      </x:c>
      <x:c r="G10" s="36" t="str">
        <x:v>EMP-011</x:v>
      </x:c>
      <x:c r="H10" s="36" t="str">
        <x:v>COMPLETED</x:v>
      </x:c>
      <x:c r="I10" s="48" t="n">
        <x:v>0.91</x:v>
      </x:c>
      <x:c r="J10" s="36" t="str">
        <x:v>ONLINE</x:v>
      </x:c>
      <x:c r="K10" s="36" t="str">
        <x:v>PPE-4.0</x:v>
      </x:c>
      <x:c r="L10" s="38" t="str">
        <x:v>Hearing protection reminder issued.</x:v>
      </x:c>
    </x:row>
    <x:row r="11" ht="24" customHeight="1">
      <x:c r="A11" s="36" t="str">
        <x:v>INS-2026-0123</x:v>
      </x:c>
      <x:c r="B11" s="36" t="str">
        <x:v>HOUSEKEEPING</x:v>
      </x:c>
      <x:c r="C11" s="36" t="str">
        <x:v>DEP-MAINT</x:v>
      </x:c>
      <x:c r="D11" s="36" t="str">
        <x:v>ZN-M01</x:v>
      </x:c>
      <x:c r="E11" s="37" t="n">
        <x:v>46235.25</x:v>
      </x:c>
      <x:c r="F11" s="37" t="n">
        <x:v>46235.291666666664</x:v>
      </x:c>
      <x:c r="G11" s="36" t="str">
        <x:v>EMP-010</x:v>
      </x:c>
      <x:c r="H11" s="36" t="str">
        <x:v>COMPLETED</x:v>
      </x:c>
      <x:c r="I11" s="48" t="n">
        <x:v>0.68</x:v>
      </x:c>
      <x:c r="J11" s="36" t="str">
        <x:v>OFFLINE</x:v>
      </x:c>
      <x:c r="K11" s="36" t="str">
        <x:v>5S-1.9</x:v>
      </x:c>
      <x:c r="L11" s="38" t="str">
        <x:v>Walkways and cable routing need correction.</x:v>
      </x:c>
    </x:row>
    <x:row r="12" ht="24" customHeight="1">
      <x:c r="A12" s="36" t="str">
        <x:v>INS-2026-0130</x:v>
      </x:c>
      <x:c r="B12" s="36" t="str">
        <x:v>SAFETY_WALK</x:v>
      </x:c>
      <x:c r="C12" s="36" t="str">
        <x:v>DEP-PROD-B</x:v>
      </x:c>
      <x:c r="D12" s="36" t="str">
        <x:v>ZN-B2</x:v>
      </x:c>
      <x:c r="E12" s="37" t="n">
        <x:v>46248.291666666664</x:v>
      </x:c>
      <x:c r="F12" s="37"/>
      <x:c r="G12" s="36" t="str">
        <x:v>EMP-012</x:v>
      </x:c>
      <x:c r="H12" s="36" t="str">
        <x:v>SCHEDULED</x:v>
      </x:c>
      <x:c r="I12" s="48"/>
      <x:c r="J12" s="36" t="str">
        <x:v>ONLINE</x:v>
      </x:c>
      <x:c r="K12" s="36" t="str">
        <x:v>SW-3.2</x:v>
      </x:c>
      <x:c r="L12" s="38" t="str">
        <x:v>Planned.</x:v>
      </x:c>
    </x:row>
    <x:row r="13" ht="24" customHeight="1">
      <x:c r="A13" s="36" t="str">
        <x:v>INS-2026-0131</x:v>
      </x:c>
      <x:c r="B13" s="36" t="str">
        <x:v>CONFINED_SPACE</x:v>
      </x:c>
      <x:c r="C13" s="36" t="str">
        <x:v>DEP-UTIL</x:v>
      </x:c>
      <x:c r="D13" s="36" t="str">
        <x:v>ZN-U02</x:v>
      </x:c>
      <x:c r="E13" s="37" t="n">
        <x:v>46249.208333333336</x:v>
      </x:c>
      <x:c r="F13" s="37"/>
      <x:c r="G13" s="36" t="str">
        <x:v>EMP-010</x:v>
      </x:c>
      <x:c r="H13" s="36" t="str">
        <x:v>SCHEDULED</x:v>
      </x:c>
      <x:c r="I13" s="48"/>
      <x:c r="J13" s="36" t="str">
        <x:v>ONLINE</x:v>
      </x:c>
      <x:c r="K13" s="36" t="str">
        <x:v>CS-2.3</x:v>
      </x:c>
      <x:c r="L13" s="38" t="str">
        <x:v>Linked to planned tank entry.</x:v>
      </x:c>
    </x:row>
    <x:row r="14" ht="24" customHeight="1">
      <x:c r="A14" s="41" t="str">
        <x:v>INS-2026-0122</x:v>
      </x:c>
      <x:c r="B14" s="41" t="str">
        <x:v>FORKLIFT</x:v>
      </x:c>
      <x:c r="C14" s="41" t="str">
        <x:v>DEP-WH</x:v>
      </x:c>
      <x:c r="D14" s="41" t="str">
        <x:v>ZN-W02</x:v>
      </x:c>
      <x:c r="E14" s="42" t="n">
        <x:v>46233.229166666664</x:v>
      </x:c>
      <x:c r="F14" s="42"/>
      <x:c r="G14" s="41" t="str">
        <x:v>EMP-011</x:v>
      </x:c>
      <x:c r="H14" s="41" t="str">
        <x:v>CANCELLED</x:v>
      </x:c>
      <x:c r="I14" s="49"/>
      <x:c r="J14" s="41" t="str">
        <x:v>ONLINE</x:v>
      </x:c>
      <x:c r="K14" s="41" t="str">
        <x:v>FL-1.5</x:v>
      </x:c>
      <x:c r="L14" s="43" t="str">
        <x:v>Cancelled due to area shutdown.</x:v>
      </x:c>
    </x:row>
  </x:sheetData>
  <x:mergeCells>
    <x:mergeCell ref="A1:L1"/>
    <x:mergeCell ref="A2:L2"/>
  </x:mergeCells>
  <x:conditionalFormatting sqref="H5:H14">
    <x:cfRule type="containsText" dxfId="66" priority="1" operator="containsText" text="CRITICAL"/>
    <x:cfRule type="containsText" dxfId="67" priority="2" operator="containsText" text="EXPIRED"/>
    <x:cfRule type="containsText" dxfId="68" priority="3" operator="containsText" text="FAILED"/>
    <x:cfRule type="containsText" dxfId="69" priority="4" operator="containsText" text="OVERDUE"/>
    <x:cfRule type="containsText" dxfId="70" priority="5" operator="containsText" text="REJECTED"/>
    <x:cfRule type="containsText" dxfId="71" priority="6" operator="containsText" text="OUT_OF_SERVICE"/>
    <x:cfRule type="containsText" dxfId="72" priority="7" operator="containsText" text="BELOW_THRESHOLD"/>
    <x:cfRule type="containsText" dxfId="73" priority="8" operator="containsText" text="HIGH"/>
    <x:cfRule type="containsText" dxfId="74" priority="9" operator="containsText" text="WARNING"/>
    <x:cfRule type="containsText" dxfId="75" priority="10" operator="containsText" text="DUE_SOON"/>
    <x:cfRule type="containsText" dxfId="76" priority="11" operator="containsText" text="OPEN"/>
    <x:cfRule type="containsText" dxfId="77" priority="12" operator="containsText" text="PENDING"/>
    <x:cfRule type="containsText" dxfId="78" priority="13" operator="containsText" text="SUSPENDED"/>
    <x:cfRule type="containsText" dxfId="79" priority="14" operator="containsText" text="TESTING"/>
    <x:cfRule type="containsText" dxfId="80" priority="15" operator="containsText" text="PARTIAL_FAILURE"/>
    <x:cfRule type="containsText" dxfId="81" priority="16" operator="containsText" text="LOW_STOCK"/>
    <x:cfRule type="containsText" dxfId="82" priority="17" operator="containsText" text="ACTIVE"/>
    <x:cfRule type="containsText" dxfId="83" priority="18" operator="containsText" text="VALID"/>
    <x:cfRule type="containsText" dxfId="84" priority="19" operator="containsText" text="SUCCESS"/>
    <x:cfRule type="containsText" dxfId="85" priority="20" operator="containsText" text="COMPLETED"/>
    <x:cfRule type="containsText" dxfId="86" priority="21" operator="containsText" text="CLOSED"/>
    <x:cfRule type="containsText" dxfId="87" priority="22" operator="containsText" text="CONNECTED"/>
    <x:cfRule type="containsText" dxfId="88" priority="23" operator="containsText" text="NORMAL"/>
    <x:cfRule type="containsText" dxfId="89" priority="24" operator="containsText" text="VERIFIED"/>
    <x:cfRule type="containsText" dxfId="90" priority="25" operator="containsText" text="RESOLVED"/>
    <x:cfRule type="containsText" dxfId="91" priority="26" operator="containsText" text="PASS"/>
    <x:cfRule type="containsText" dxfId="92" priority="27" operator="containsText" text="OK"/>
    <x:cfRule type="containsText" dxfId="93" priority="28" operator="containsText" text="INFO"/>
    <x:cfRule type="containsText" dxfId="94" priority="29" operator="containsText" text="DRAFT"/>
    <x:cfRule type="containsText" dxfId="95" priority="30" operator="containsText" text="SCHEDULED"/>
    <x:cfRule type="containsText" dxfId="96" priority="31" operator="containsText" text="IN_PROGRESS"/>
    <x:cfRule type="containsText" dxfId="97" priority="32" operator="containsText" text="MODEL_REVIEW"/>
    <x:cfRule type="containsText" dxfId="98" priority="33" operator="containsText" text="READ"/>
  </x:conditionalFormatting>
  <x:dataValidations count="2">
    <x:dataValidation type="list" sqref="H5:H14">
      <x:formula1>"SCHEDULED,IN_PROGRESS,COMPLETED,OVERDUE,CANCELLED"</x:formula1>
    </x:dataValidation>
    <x:dataValidation type="list" sqref="J5:J14">
      <x:formula1>"ONLINE,OFFLINE"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2d46579fa445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3" hidden="0" customWidth="1"/>
    <x:col min="8" max="8" width="18" hidden="0" customWidth="1"/>
    <x:col min="9" max="9" width="13" hidden="0" customWidth="1"/>
    <x:col min="10" max="10" width="13" hidden="0" customWidth="1"/>
    <x:col min="11" max="11" width="18" hidden="0" customWidth="1"/>
  </x:cols>
  <x:sheetData>
    <x:row r="1" ht="32" customHeight="1">
      <x:c r="A1" s="17" t="str">
        <x:v>ESCA HSE | Findings</x:v>
      </x:c>
      <x:c r="B1" s="17" t="str">
        <x:v>ESCA HSE | Findings</x:v>
      </x:c>
      <x:c r="C1" s="17" t="str">
        <x:v>ESCA HSE | Findings</x:v>
      </x:c>
      <x:c r="D1" s="17" t="str">
        <x:v>ESCA HSE | Findings</x:v>
      </x:c>
      <x:c r="E1" s="17" t="str">
        <x:v>ESCA HSE | Findings</x:v>
      </x:c>
      <x:c r="F1" s="17" t="str">
        <x:v>ESCA HSE | Findings</x:v>
      </x:c>
      <x:c r="G1" s="17" t="str">
        <x:v>ESCA HSE | Findings</x:v>
      </x:c>
      <x:c r="H1" s="17" t="str">
        <x:v>ESCA HSE | Findings</x:v>
      </x:c>
      <x:c r="I1" s="17" t="str">
        <x:v>ESCA HSE | Findings</x:v>
      </x:c>
      <x:c r="J1" s="17" t="str">
        <x:v>ESCA HSE | Findings</x:v>
      </x:c>
      <x:c r="K1" s="17" t="str">
        <x:v>ESCA HSE | Findings</x:v>
      </x:c>
    </x:row>
    <x:row r="2" ht="28" customHeight="1">
      <x:c r="A2" s="21" t="str">
        <x:v>Inspection findings register | Owner: Member 2 | Synthetic sample data | Snapshot: 2026-08-13</x:v>
      </x:c>
      <x:c r="B2" s="21" t="str">
        <x:v>Inspection findings register | Owner: Member 2 | Synthetic sample data | Snapshot: 2026-08-13</x:v>
      </x:c>
      <x:c r="C2" s="21" t="str">
        <x:v>Inspection findings register | Owner: Member 2 | Synthetic sample data | Snapshot: 2026-08-13</x:v>
      </x:c>
      <x:c r="D2" s="21" t="str">
        <x:v>Inspection findings register | Owner: Member 2 | Synthetic sample data | Snapshot: 2026-08-13</x:v>
      </x:c>
      <x:c r="E2" s="21" t="str">
        <x:v>Inspection findings register | Owner: Member 2 | Synthetic sample data | Snapshot: 2026-08-13</x:v>
      </x:c>
      <x:c r="F2" s="21" t="str">
        <x:v>Inspection findings register | Owner: Member 2 | Synthetic sample data | Snapshot: 2026-08-13</x:v>
      </x:c>
      <x:c r="G2" s="21" t="str">
        <x:v>Inspection findings register | Owner: Member 2 | Synthetic sample data | Snapshot: 2026-08-13</x:v>
      </x:c>
      <x:c r="H2" s="21" t="str">
        <x:v>Inspection findings register | Owner: Member 2 | Synthetic sample data | Snapshot: 2026-08-13</x:v>
      </x:c>
      <x:c r="I2" s="21" t="str">
        <x:v>Inspection findings register | Owner: Member 2 | Synthetic sample data | Snapshot: 2026-08-13</x:v>
      </x:c>
      <x:c r="J2" s="21" t="str">
        <x:v>Inspection findings register | Owner: Member 2 | Synthetic sample data | Snapshot: 2026-08-13</x:v>
      </x:c>
      <x:c r="K2" s="21" t="str">
        <x:v>Inspection findings register | Owner: Member 2 | Synthetic sample data | Snapshot: 2026-08-13</x:v>
      </x:c>
    </x:row>
    <x:row r="4" ht="30" customHeight="1">
      <x:c r="A4" s="26" t="str">
        <x:v>finding_id</x:v>
      </x:c>
      <x:c r="B4" s="26" t="str">
        <x:v>inspection_id</x:v>
      </x:c>
      <x:c r="C4" s="26" t="str">
        <x:v>category</x:v>
      </x:c>
      <x:c r="D4" s="26" t="str">
        <x:v>description</x:v>
      </x:c>
      <x:c r="E4" s="26" t="str">
        <x:v>severity</x:v>
      </x:c>
      <x:c r="F4" s="26" t="str">
        <x:v>responsible_id</x:v>
      </x:c>
      <x:c r="G4" s="26" t="str">
        <x:v>due_date</x:v>
      </x:c>
      <x:c r="H4" s="26" t="str">
        <x:v>status</x:v>
      </x:c>
      <x:c r="I4" s="26" t="str">
        <x:v>closed_at</x:v>
      </x:c>
      <x:c r="J4" s="26" t="str">
        <x:v>capa_required</x:v>
      </x:c>
      <x:c r="K4" s="26" t="str">
        <x:v>capa_id</x:v>
      </x:c>
    </x:row>
    <x:row r="5" ht="24" customHeight="1">
      <x:c r="A5" s="31" t="str">
        <x:v>FND-001</x:v>
      </x:c>
      <x:c r="B5" s="31" t="str">
        <x:v>INS-2026-0129</x:v>
      </x:c>
      <x:c r="C5" s="31" t="str">
        <x:v>MACHINE_GUARDING</x:v>
      </x:c>
      <x:c r="D5" s="33" t="str">
        <x:v>Guard gap exceeds local standard on cutter 3.</x:v>
      </x:c>
      <x:c r="E5" s="31" t="str">
        <x:v>MAJOR</x:v>
      </x:c>
      <x:c r="F5" s="31" t="str">
        <x:v>EMP-015</x:v>
      </x:c>
      <x:c r="G5" s="35" t="n">
        <x:v>46244</x:v>
      </x:c>
      <x:c r="H5" s="31" t="str">
        <x:v>OPEN</x:v>
      </x:c>
      <x:c r="I5" s="35"/>
      <x:c r="J5" s="53" t="b">
        <x:v>1</x:v>
      </x:c>
      <x:c r="K5" s="31" t="str">
        <x:v>CAPA-001</x:v>
      </x:c>
    </x:row>
    <x:row r="6" ht="24" customHeight="1">
      <x:c r="A6" s="36" t="str">
        <x:v>FND-002</x:v>
      </x:c>
      <x:c r="B6" s="36" t="str">
        <x:v>INS-2026-0129</x:v>
      </x:c>
      <x:c r="C6" s="36" t="str">
        <x:v>PPE</x:v>
      </x:c>
      <x:c r="D6" s="38" t="str">
        <x:v>Two workers without hearing protection.</x:v>
      </x:c>
      <x:c r="E6" s="36" t="str">
        <x:v>MODERATE</x:v>
      </x:c>
      <x:c r="F6" s="36" t="str">
        <x:v>EMP-013</x:v>
      </x:c>
      <x:c r="G6" s="40" t="n">
        <x:v>46249</x:v>
      </x:c>
      <x:c r="H6" s="36" t="str">
        <x:v>IN_PROGRESS</x:v>
      </x:c>
      <x:c r="I6" s="40"/>
      <x:c r="J6" s="54" t="b">
        <x:v>1</x:v>
      </x:c>
      <x:c r="K6" s="36" t="str">
        <x:v>CAPA-002</x:v>
      </x:c>
    </x:row>
    <x:row r="7" ht="24" customHeight="1">
      <x:c r="A7" s="36" t="str">
        <x:v>FND-003</x:v>
      </x:c>
      <x:c r="B7" s="36" t="str">
        <x:v>INS-2026-0129</x:v>
      </x:c>
      <x:c r="C7" s="36" t="str">
        <x:v>HOUSEKEEPING</x:v>
      </x:c>
      <x:c r="D7" s="38" t="str">
        <x:v>Material stored inside marked walkway.</x:v>
      </x:c>
      <x:c r="E7" s="36" t="str">
        <x:v>MINOR</x:v>
      </x:c>
      <x:c r="F7" s="36" t="str">
        <x:v>EMP-013</x:v>
      </x:c>
      <x:c r="G7" s="40" t="n">
        <x:v>46247</x:v>
      </x:c>
      <x:c r="H7" s="36" t="str">
        <x:v>CLOSED</x:v>
      </x:c>
      <x:c r="I7" s="40" t="n">
        <x:v>46247</x:v>
      </x:c>
      <x:c r="J7" s="54" t="b">
        <x:v>0</x:v>
      </x:c>
      <x:c r="K7" s="36"/>
    </x:row>
    <x:row r="8" ht="24" customHeight="1">
      <x:c r="A8" s="36" t="str">
        <x:v>FND-004</x:v>
      </x:c>
      <x:c r="B8" s="36" t="str">
        <x:v>INS-2026-0127</x:v>
      </x:c>
      <x:c r="C8" s="36" t="str">
        <x:v>FIRE_EQUIPMENT</x:v>
      </x:c>
      <x:c r="D8" s="38" t="str">
        <x:v>Extinguisher FE-A-014 expired.</x:v>
      </x:c>
      <x:c r="E8" s="36" t="str">
        <x:v>CRITICAL</x:v>
      </x:c>
      <x:c r="F8" s="36" t="str">
        <x:v>EMP-015</x:v>
      </x:c>
      <x:c r="G8" s="40" t="n">
        <x:v>46243</x:v>
      </x:c>
      <x:c r="H8" s="36" t="str">
        <x:v>OPEN</x:v>
      </x:c>
      <x:c r="I8" s="40"/>
      <x:c r="J8" s="54" t="b">
        <x:v>1</x:v>
      </x:c>
      <x:c r="K8" s="36" t="str">
        <x:v>CAPA-003</x:v>
      </x:c>
    </x:row>
    <x:row r="9" ht="24" customHeight="1">
      <x:c r="A9" s="36" t="str">
        <x:v>FND-005</x:v>
      </x:c>
      <x:c r="B9" s="36" t="str">
        <x:v>INS-2026-0125</x:v>
      </x:c>
      <x:c r="C9" s="36" t="str">
        <x:v>CHEMICAL_STORAGE</x:v>
      </x:c>
      <x:c r="D9" s="38" t="str">
        <x:v>Oxidizer stored adjacent to flammable product.</x:v>
      </x:c>
      <x:c r="E9" s="36" t="str">
        <x:v>MAJOR</x:v>
      </x:c>
      <x:c r="F9" s="36" t="str">
        <x:v>EMP-004</x:v>
      </x:c>
      <x:c r="G9" s="40" t="n">
        <x:v>46241</x:v>
      </x:c>
      <x:c r="H9" s="36" t="str">
        <x:v>IN_PROGRESS</x:v>
      </x:c>
      <x:c r="I9" s="40"/>
      <x:c r="J9" s="54" t="b">
        <x:v>1</x:v>
      </x:c>
      <x:c r="K9" s="36" t="str">
        <x:v>CAPA-004</x:v>
      </x:c>
    </x:row>
    <x:row r="10" ht="24" customHeight="1">
      <x:c r="A10" s="36" t="str">
        <x:v>FND-006</x:v>
      </x:c>
      <x:c r="B10" s="36" t="str">
        <x:v>INS-2026-0125</x:v>
      </x:c>
      <x:c r="C10" s="36" t="str">
        <x:v>SDS</x:v>
      </x:c>
      <x:c r="D10" s="38" t="str">
        <x:v>Latest Arabic SDS missing for CHM-006.</x:v>
      </x:c>
      <x:c r="E10" s="36" t="str">
        <x:v>MODERATE</x:v>
      </x:c>
      <x:c r="F10" s="36" t="str">
        <x:v>EMP-034</x:v>
      </x:c>
      <x:c r="G10" s="40" t="n">
        <x:v>46246</x:v>
      </x:c>
      <x:c r="H10" s="36" t="str">
        <x:v>OPEN</x:v>
      </x:c>
      <x:c r="I10" s="40"/>
      <x:c r="J10" s="54" t="b">
        <x:v>1</x:v>
      </x:c>
      <x:c r="K10" s="36" t="str">
        <x:v>CAPA-005</x:v>
      </x:c>
    </x:row>
    <x:row r="11" ht="24" customHeight="1">
      <x:c r="A11" s="36" t="str">
        <x:v>FND-007</x:v>
      </x:c>
      <x:c r="B11" s="36" t="str">
        <x:v>INS-2026-0124</x:v>
      </x:c>
      <x:c r="C11" s="36" t="str">
        <x:v>PPE</x:v>
      </x:c>
      <x:c r="D11" s="38" t="str">
        <x:v>Hearing protection signage faded.</x:v>
      </x:c>
      <x:c r="E11" s="36" t="str">
        <x:v>MINOR</x:v>
      </x:c>
      <x:c r="F11" s="36" t="str">
        <x:v>EMP-014</x:v>
      </x:c>
      <x:c r="G11" s="40" t="n">
        <x:v>46242</x:v>
      </x:c>
      <x:c r="H11" s="36" t="str">
        <x:v>CLOSED</x:v>
      </x:c>
      <x:c r="I11" s="40" t="n">
        <x:v>46241</x:v>
      </x:c>
      <x:c r="J11" s="54" t="b">
        <x:v>0</x:v>
      </x:c>
      <x:c r="K11" s="36"/>
    </x:row>
    <x:row r="12" ht="24" customHeight="1">
      <x:c r="A12" s="36" t="str">
        <x:v>FND-008</x:v>
      </x:c>
      <x:c r="B12" s="36" t="str">
        <x:v>INS-2026-0123</x:v>
      </x:c>
      <x:c r="C12" s="36" t="str">
        <x:v>HOUSEKEEPING</x:v>
      </x:c>
      <x:c r="D12" s="38" t="str">
        <x:v>Temporary cable crosses pedestrian path.</x:v>
      </x:c>
      <x:c r="E12" s="36" t="str">
        <x:v>MAJOR</x:v>
      </x:c>
      <x:c r="F12" s="36" t="str">
        <x:v>EMP-015</x:v>
      </x:c>
      <x:c r="G12" s="40" t="n">
        <x:v>46237</x:v>
      </x:c>
      <x:c r="H12" s="36" t="str">
        <x:v>OPEN</x:v>
      </x:c>
      <x:c r="I12" s="40"/>
      <x:c r="J12" s="54" t="b">
        <x:v>1</x:v>
      </x:c>
      <x:c r="K12" s="36" t="str">
        <x:v>CAPA-006</x:v>
      </x:c>
    </x:row>
    <x:row r="13" ht="24" customHeight="1">
      <x:c r="A13" s="36" t="str">
        <x:v>FND-009</x:v>
      </x:c>
      <x:c r="B13" s="36" t="str">
        <x:v>INS-2026-0123</x:v>
      </x:c>
      <x:c r="C13" s="36" t="str">
        <x:v>WASTE</x:v>
      </x:c>
      <x:c r="D13" s="38" t="str">
        <x:v>Scrap bin above marked fill line.</x:v>
      </x:c>
      <x:c r="E13" s="36" t="str">
        <x:v>MINOR</x:v>
      </x:c>
      <x:c r="F13" s="36" t="str">
        <x:v>EMP-015</x:v>
      </x:c>
      <x:c r="G13" s="40" t="n">
        <x:v>46238</x:v>
      </x:c>
      <x:c r="H13" s="36" t="str">
        <x:v>CLOSED</x:v>
      </x:c>
      <x:c r="I13" s="40" t="n">
        <x:v>46238</x:v>
      </x:c>
      <x:c r="J13" s="54" t="b">
        <x:v>0</x:v>
      </x:c>
      <x:c r="K13" s="36"/>
    </x:row>
    <x:row r="14" ht="24" customHeight="1">
      <x:c r="A14" s="36" t="str">
        <x:v>FND-010</x:v>
      </x:c>
      <x:c r="B14" s="36" t="str">
        <x:v>INS-2026-0126</x:v>
      </x:c>
      <x:c r="C14" s="36" t="str">
        <x:v>ELECTRICAL</x:v>
      </x:c>
      <x:c r="D14" s="38" t="str">
        <x:v>One panel label partially unreadable.</x:v>
      </x:c>
      <x:c r="E14" s="36" t="str">
        <x:v>MINOR</x:v>
      </x:c>
      <x:c r="F14" s="36" t="str">
        <x:v>EMP-006</x:v>
      </x:c>
      <x:c r="G14" s="40" t="n">
        <x:v>46244</x:v>
      </x:c>
      <x:c r="H14" s="36" t="str">
        <x:v>CLOSED</x:v>
      </x:c>
      <x:c r="I14" s="40" t="n">
        <x:v>46243</x:v>
      </x:c>
      <x:c r="J14" s="54" t="b">
        <x:v>0</x:v>
      </x:c>
      <x:c r="K14" s="36"/>
    </x:row>
    <x:row r="15" ht="24" customHeight="1">
      <x:c r="A15" s="36" t="str">
        <x:v>FND-011</x:v>
      </x:c>
      <x:c r="B15" s="36" t="str">
        <x:v>INS-2026-0126</x:v>
      </x:c>
      <x:c r="C15" s="36" t="str">
        <x:v>LOTO</x:v>
      </x:c>
      <x:c r="D15" s="38" t="str">
        <x:v>Spare lock register not signed for one lock.</x:v>
      </x:c>
      <x:c r="E15" s="36" t="str">
        <x:v>MODERATE</x:v>
      </x:c>
      <x:c r="F15" s="36" t="str">
        <x:v>EMP-006</x:v>
      </x:c>
      <x:c r="G15" s="40" t="n">
        <x:v>46248</x:v>
      </x:c>
      <x:c r="H15" s="36" t="str">
        <x:v>IN_PROGRESS</x:v>
      </x:c>
      <x:c r="I15" s="40"/>
      <x:c r="J15" s="54" t="b">
        <x:v>1</x:v>
      </x:c>
      <x:c r="K15" s="36" t="str">
        <x:v>CAPA-007</x:v>
      </x:c>
    </x:row>
    <x:row r="16" ht="24" customHeight="1">
      <x:c r="A16" s="41" t="str">
        <x:v>FND-012</x:v>
      </x:c>
      <x:c r="B16" s="41" t="str">
        <x:v>INS-2026-0127</x:v>
      </x:c>
      <x:c r="C16" s="41" t="str">
        <x:v>FIRE_EQUIPMENT</x:v>
      </x:c>
      <x:c r="D16" s="43" t="str">
        <x:v>Access to FE-A-011 restricted by pallet.</x:v>
      </x:c>
      <x:c r="E16" s="41" t="str">
        <x:v>MAJOR</x:v>
      </x:c>
      <x:c r="F16" s="41" t="str">
        <x:v>EMP-013</x:v>
      </x:c>
      <x:c r="G16" s="45" t="n">
        <x:v>46242</x:v>
      </x:c>
      <x:c r="H16" s="41" t="str">
        <x:v>CLOSED</x:v>
      </x:c>
      <x:c r="I16" s="45" t="n">
        <x:v>46242</x:v>
      </x:c>
      <x:c r="J16" s="55" t="b">
        <x:v>1</x:v>
      </x:c>
      <x:c r="K16" s="41" t="str">
        <x:v>CAPA-008</x:v>
      </x:c>
    </x:row>
  </x:sheetData>
  <x:mergeCells>
    <x:mergeCell ref="A1:K1"/>
    <x:mergeCell ref="A2:K2"/>
  </x:mergeCells>
  <x:conditionalFormatting sqref="E5:E16">
    <x:cfRule type="containsText" dxfId="99" priority="1" operator="containsText" text="CRITICAL"/>
    <x:cfRule type="containsText" dxfId="100" priority="2" operator="containsText" text="EXPIRED"/>
    <x:cfRule type="containsText" dxfId="101" priority="3" operator="containsText" text="FAILED"/>
    <x:cfRule type="containsText" dxfId="102" priority="4" operator="containsText" text="OVERDUE"/>
    <x:cfRule type="containsText" dxfId="103" priority="5" operator="containsText" text="REJECTED"/>
    <x:cfRule type="containsText" dxfId="104" priority="6" operator="containsText" text="OUT_OF_SERVICE"/>
    <x:cfRule type="containsText" dxfId="105" priority="7" operator="containsText" text="BELOW_THRESHOLD"/>
    <x:cfRule type="containsText" dxfId="106" priority="8" operator="containsText" text="HIGH"/>
    <x:cfRule type="containsText" dxfId="107" priority="9" operator="containsText" text="WARNING"/>
    <x:cfRule type="containsText" dxfId="108" priority="10" operator="containsText" text="DUE_SOON"/>
    <x:cfRule type="containsText" dxfId="109" priority="11" operator="containsText" text="OPEN"/>
    <x:cfRule type="containsText" dxfId="110" priority="12" operator="containsText" text="PENDING"/>
    <x:cfRule type="containsText" dxfId="111" priority="13" operator="containsText" text="SUSPENDED"/>
    <x:cfRule type="containsText" dxfId="112" priority="14" operator="containsText" text="TESTING"/>
    <x:cfRule type="containsText" dxfId="113" priority="15" operator="containsText" text="PARTIAL_FAILURE"/>
    <x:cfRule type="containsText" dxfId="114" priority="16" operator="containsText" text="LOW_STOCK"/>
    <x:cfRule type="containsText" dxfId="115" priority="17" operator="containsText" text="ACTIVE"/>
    <x:cfRule type="containsText" dxfId="116" priority="18" operator="containsText" text="VALID"/>
    <x:cfRule type="containsText" dxfId="117" priority="19" operator="containsText" text="SUCCESS"/>
    <x:cfRule type="containsText" dxfId="118" priority="20" operator="containsText" text="COMPLETED"/>
    <x:cfRule type="containsText" dxfId="119" priority="21" operator="containsText" text="CLOSED"/>
    <x:cfRule type="containsText" dxfId="120" priority="22" operator="containsText" text="CONNECTED"/>
    <x:cfRule type="containsText" dxfId="121" priority="23" operator="containsText" text="NORMAL"/>
    <x:cfRule type="containsText" dxfId="122" priority="24" operator="containsText" text="VERIFIED"/>
    <x:cfRule type="containsText" dxfId="123" priority="25" operator="containsText" text="RESOLVED"/>
    <x:cfRule type="containsText" dxfId="124" priority="26" operator="containsText" text="PASS"/>
    <x:cfRule type="containsText" dxfId="125" priority="27" operator="containsText" text="OK"/>
    <x:cfRule type="containsText" dxfId="126" priority="28" operator="containsText" text="INFO"/>
    <x:cfRule type="containsText" dxfId="127" priority="29" operator="containsText" text="DRAFT"/>
    <x:cfRule type="containsText" dxfId="128" priority="30" operator="containsText" text="SCHEDULED"/>
    <x:cfRule type="containsText" dxfId="129" priority="31" operator="containsText" text="IN_PROGRESS"/>
    <x:cfRule type="containsText" dxfId="130" priority="32" operator="containsText" text="MODEL_REVIEW"/>
    <x:cfRule type="containsText" dxfId="131" priority="33" operator="containsText" text="READ"/>
  </x:conditionalFormatting>
  <x:conditionalFormatting sqref="H5:H16">
    <x:cfRule type="containsText" dxfId="132" priority="34" operator="containsText" text="CRITICAL"/>
    <x:cfRule type="containsText" dxfId="133" priority="35" operator="containsText" text="EXPIRED"/>
    <x:cfRule type="containsText" dxfId="134" priority="36" operator="containsText" text="FAILED"/>
    <x:cfRule type="containsText" dxfId="135" priority="37" operator="containsText" text="OVERDUE"/>
    <x:cfRule type="containsText" dxfId="136" priority="38" operator="containsText" text="REJECTED"/>
    <x:cfRule type="containsText" dxfId="137" priority="39" operator="containsText" text="OUT_OF_SERVICE"/>
    <x:cfRule type="containsText" dxfId="138" priority="40" operator="containsText" text="BELOW_THRESHOLD"/>
    <x:cfRule type="containsText" dxfId="139" priority="41" operator="containsText" text="HIGH"/>
    <x:cfRule type="containsText" dxfId="140" priority="42" operator="containsText" text="WARNING"/>
    <x:cfRule type="containsText" dxfId="141" priority="43" operator="containsText" text="DUE_SOON"/>
    <x:cfRule type="containsText" dxfId="142" priority="44" operator="containsText" text="OPEN"/>
    <x:cfRule type="containsText" dxfId="143" priority="45" operator="containsText" text="PENDING"/>
    <x:cfRule type="containsText" dxfId="144" priority="46" operator="containsText" text="SUSPENDED"/>
    <x:cfRule type="containsText" dxfId="145" priority="47" operator="containsText" text="TESTING"/>
    <x:cfRule type="containsText" dxfId="146" priority="48" operator="containsText" text="PARTIAL_FAILURE"/>
    <x:cfRule type="containsText" dxfId="147" priority="49" operator="containsText" text="LOW_STOCK"/>
    <x:cfRule type="containsText" dxfId="148" priority="50" operator="containsText" text="ACTIVE"/>
    <x:cfRule type="containsText" dxfId="149" priority="51" operator="containsText" text="VALID"/>
    <x:cfRule type="containsText" dxfId="150" priority="52" operator="containsText" text="SUCCESS"/>
    <x:cfRule type="containsText" dxfId="151" priority="53" operator="containsText" text="COMPLETED"/>
    <x:cfRule type="containsText" dxfId="152" priority="54" operator="containsText" text="CLOSED"/>
    <x:cfRule type="containsText" dxfId="153" priority="55" operator="containsText" text="CONNECTED"/>
    <x:cfRule type="containsText" dxfId="154" priority="56" operator="containsText" text="NORMAL"/>
    <x:cfRule type="containsText" dxfId="155" priority="57" operator="containsText" text="VERIFIED"/>
    <x:cfRule type="containsText" dxfId="156" priority="58" operator="containsText" text="RESOLVED"/>
    <x:cfRule type="containsText" dxfId="157" priority="59" operator="containsText" text="PASS"/>
    <x:cfRule type="containsText" dxfId="158" priority="60" operator="containsText" text="OK"/>
    <x:cfRule type="containsText" dxfId="159" priority="61" operator="containsText" text="INFO"/>
    <x:cfRule type="containsText" dxfId="160" priority="62" operator="containsText" text="DRAFT"/>
    <x:cfRule type="containsText" dxfId="161" priority="63" operator="containsText" text="SCHEDULED"/>
    <x:cfRule type="containsText" dxfId="162" priority="64" operator="containsText" text="IN_PROGRESS"/>
    <x:cfRule type="containsText" dxfId="163" priority="65" operator="containsText" text="MODEL_REVIEW"/>
    <x:cfRule type="containsText" dxfId="164" priority="66" operator="containsText" text="READ"/>
  </x:conditionalFormatting>
  <x:dataValidations count="2">
    <x:dataValidation type="list" sqref="E5:E16">
      <x:formula1>"MINOR,MODERATE,MAJOR,CRITICAL"</x:formula1>
    </x:dataValidation>
    <x:dataValidation type="list" sqref="H5:H16">
      <x:formula1>"OPEN,IN_PROGRESS,CLOSED,CANCELLED"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c944469b645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8" hidden="0" customWidth="1"/>
    <x:col min="10" max="10" width="13" hidden="0" customWidth="1"/>
    <x:col min="11" max="11" width="18" hidden="0" customWidth="1"/>
    <x:col min="12" max="12" width="18" hidden="0" customWidth="1"/>
    <x:col min="13" max="13" width="20" hidden="0" customWidth="1"/>
    <x:col min="14" max="14" width="13" hidden="0" customWidth="1"/>
    <x:col min="15" max="15" width="13" hidden="0" customWidth="1"/>
  </x:cols>
  <x:sheetData>
    <x:row r="1" ht="32" customHeight="1">
      <x:c r="A1" s="17" t="str">
        <x:v>ESCA HSE | CAPA</x:v>
      </x:c>
      <x:c r="B1" s="17" t="str">
        <x:v>ESCA HSE | CAPA</x:v>
      </x:c>
      <x:c r="C1" s="17" t="str">
        <x:v>ESCA HSE | CAPA</x:v>
      </x:c>
      <x:c r="D1" s="17" t="str">
        <x:v>ESCA HSE | CAPA</x:v>
      </x:c>
      <x:c r="E1" s="17" t="str">
        <x:v>ESCA HSE | CAPA</x:v>
      </x:c>
      <x:c r="F1" s="17" t="str">
        <x:v>ESCA HSE | CAPA</x:v>
      </x:c>
      <x:c r="G1" s="17" t="str">
        <x:v>ESCA HSE | CAPA</x:v>
      </x:c>
      <x:c r="H1" s="17" t="str">
        <x:v>ESCA HSE | CAPA</x:v>
      </x:c>
      <x:c r="I1" s="17" t="str">
        <x:v>ESCA HSE | CAPA</x:v>
      </x:c>
      <x:c r="J1" s="17" t="str">
        <x:v>ESCA HSE | CAPA</x:v>
      </x:c>
      <x:c r="K1" s="17" t="str">
        <x:v>ESCA HSE | CAPA</x:v>
      </x:c>
      <x:c r="L1" s="17" t="str">
        <x:v>ESCA HSE | CAPA</x:v>
      </x:c>
      <x:c r="M1" s="17" t="str">
        <x:v>ESCA HSE | CAPA</x:v>
      </x:c>
      <x:c r="N1" s="17" t="str">
        <x:v>ESCA HSE | CAPA</x:v>
      </x:c>
      <x:c r="O1" s="17" t="str">
        <x:v>ESCA HSE | CAPA</x:v>
      </x:c>
    </x:row>
    <x:row r="2" ht="28" customHeight="1">
      <x:c r="A2" s="21" t="str">
        <x:v>Corrective and preventive actions | Owner: Member 1 / Member 2 | Synthetic sample data | Snapshot: 2026-08-13</x:v>
      </x:c>
      <x:c r="B2" s="21" t="str">
        <x:v>Corrective and preventive actions | Owner: Member 1 / Member 2 | Synthetic sample data | Snapshot: 2026-08-13</x:v>
      </x:c>
      <x:c r="C2" s="21" t="str">
        <x:v>Corrective and preventive actions | Owner: Member 1 / Member 2 | Synthetic sample data | Snapshot: 2026-08-13</x:v>
      </x:c>
      <x:c r="D2" s="21" t="str">
        <x:v>Corrective and preventive actions | Owner: Member 1 / Member 2 | Synthetic sample data | Snapshot: 2026-08-13</x:v>
      </x:c>
      <x:c r="E2" s="21" t="str">
        <x:v>Corrective and preventive actions | Owner: Member 1 / Member 2 | Synthetic sample data | Snapshot: 2026-08-13</x:v>
      </x:c>
      <x:c r="F2" s="21" t="str">
        <x:v>Corrective and preventive actions | Owner: Member 1 / Member 2 | Synthetic sample data | Snapshot: 2026-08-13</x:v>
      </x:c>
      <x:c r="G2" s="21" t="str">
        <x:v>Corrective and preventive actions | Owner: Member 1 / Member 2 | Synthetic sample data | Snapshot: 2026-08-13</x:v>
      </x:c>
      <x:c r="H2" s="21" t="str">
        <x:v>Corrective and preventive actions | Owner: Member 1 / Member 2 | Synthetic sample data | Snapshot: 2026-08-13</x:v>
      </x:c>
      <x:c r="I2" s="21" t="str">
        <x:v>Corrective and preventive actions | Owner: Member 1 / Member 2 | Synthetic sample data | Snapshot: 2026-08-13</x:v>
      </x:c>
      <x:c r="J2" s="21" t="str">
        <x:v>Corrective and preventive actions | Owner: Member 1 / Member 2 | Synthetic sample data | Snapshot: 2026-08-13</x:v>
      </x:c>
      <x:c r="K2" s="21" t="str">
        <x:v>Corrective and preventive actions | Owner: Member 1 / Member 2 | Synthetic sample data | Snapshot: 2026-08-13</x:v>
      </x:c>
      <x:c r="L2" s="21" t="str">
        <x:v>Corrective and preventive actions | Owner: Member 1 / Member 2 | Synthetic sample data | Snapshot: 2026-08-13</x:v>
      </x:c>
      <x:c r="M2" s="21" t="str">
        <x:v>Corrective and preventive actions | Owner: Member 1 / Member 2 | Synthetic sample data | Snapshot: 2026-08-13</x:v>
      </x:c>
      <x:c r="N2" s="21" t="str">
        <x:v>Corrective and preventive actions | Owner: Member 1 / Member 2 | Synthetic sample data | Snapshot: 2026-08-13</x:v>
      </x:c>
      <x:c r="O2" s="21" t="str">
        <x:v>Corrective and preventive actions | Owner: Member 1 / Member 2 | Synthetic sample data | Snapshot: 2026-08-13</x:v>
      </x:c>
    </x:row>
    <x:row r="4" ht="30" customHeight="1">
      <x:c r="A4" s="26" t="str">
        <x:v>capa_id</x:v>
      </x:c>
      <x:c r="B4" s="26" t="str">
        <x:v>incident_id</x:v>
      </x:c>
      <x:c r="C4" s="26" t="str">
        <x:v>finding_id</x:v>
      </x:c>
      <x:c r="D4" s="26" t="str">
        <x:v>title</x:v>
      </x:c>
      <x:c r="E4" s="26" t="str">
        <x:v>action_type</x:v>
      </x:c>
      <x:c r="F4" s="26" t="str">
        <x:v>priority</x:v>
      </x:c>
      <x:c r="G4" s="26" t="str">
        <x:v>assigned_to</x:v>
      </x:c>
      <x:c r="H4" s="26" t="str">
        <x:v>due_date</x:v>
      </x:c>
      <x:c r="I4" s="26" t="str">
        <x:v>status</x:v>
      </x:c>
      <x:c r="J4" s="26" t="str">
        <x:v>completion_date</x:v>
      </x:c>
      <x:c r="K4" s="26" t="str">
        <x:v>verification_status</x:v>
      </x:c>
      <x:c r="L4" s="26" t="str">
        <x:v>verified_by</x:v>
      </x:c>
      <x:c r="M4" s="26" t="str">
        <x:v>last_reminder_at</x:v>
      </x:c>
      <x:c r="N4" s="26" t="str">
        <x:v>days_overdue</x:v>
      </x:c>
      <x:c r="O4" s="26" t="str">
        <x:v>automation_flag</x:v>
      </x:c>
    </x:row>
    <x:row r="5" ht="24" customHeight="1">
      <x:c r="A5" s="31" t="str">
        <x:v>CAPA-001</x:v>
      </x:c>
      <x:c r="B5" s="31" t="str">
        <x:v>INC-2026-0089</x:v>
      </x:c>
      <x:c r="C5" s="31" t="str">
        <x:v>FND-001</x:v>
      </x:c>
      <x:c r="D5" s="33" t="str">
        <x:v>Install compliant guard on cutter 3</x:v>
      </x:c>
      <x:c r="E5" s="31" t="str">
        <x:v>CORRECTIVE</x:v>
      </x:c>
      <x:c r="F5" s="31" t="str">
        <x:v>CRITICAL</x:v>
      </x:c>
      <x:c r="G5" s="31" t="str">
        <x:v>EMP-015</x:v>
      </x:c>
      <x:c r="H5" s="35" t="n">
        <x:v>46244</x:v>
      </x:c>
      <x:c r="I5" s="31" t="str">
        <x:v>IN_PROGRESS</x:v>
      </x:c>
      <x:c r="J5" s="35"/>
      <x:c r="K5" s="31" t="str">
        <x:v>PENDING</x:v>
      </x:c>
      <x:c r="L5" s="31"/>
      <x:c r="M5" s="32" t="n">
        <x:v>46246.25</x:v>
      </x:c>
      <x:c r="N5" s="31" t="n">
        <x:f>IF(OR(I5="COMPLETED",I5="CANCELLED"),0,MAX(0,'Summary'!$B$3-H5))</x:f>
        <x:v>3</x:v>
      </x:c>
      <x:c r="O5" s="31" t="str">
        <x:f>IF(AND(OR(I5="OPEN",I5="IN_PROGRESS"),H5&lt;'Summary'!$B$3),"OVERDUE","NO_ACTION")</x:f>
        <x:v>OVERDUE</x:v>
      </x:c>
    </x:row>
    <x:row r="6" ht="24" customHeight="1">
      <x:c r="A6" s="36" t="str">
        <x:v>CAPA-002</x:v>
      </x:c>
      <x:c r="B6" s="36"/>
      <x:c r="C6" s="36" t="str">
        <x:v>FND-002</x:v>
      </x:c>
      <x:c r="D6" s="38" t="str">
        <x:v>Renew hearing protection coaching</x:v>
      </x:c>
      <x:c r="E6" s="36" t="str">
        <x:v>PREVENTIVE</x:v>
      </x:c>
      <x:c r="F6" s="36" t="str">
        <x:v>HIGH</x:v>
      </x:c>
      <x:c r="G6" s="36" t="str">
        <x:v>EMP-013</x:v>
      </x:c>
      <x:c r="H6" s="40" t="n">
        <x:v>46249</x:v>
      </x:c>
      <x:c r="I6" s="36" t="str">
        <x:v>OPEN</x:v>
      </x:c>
      <x:c r="J6" s="40"/>
      <x:c r="K6" s="36" t="str">
        <x:v>NOT_REQUIRED</x:v>
      </x:c>
      <x:c r="L6" s="36"/>
      <x:c r="M6" s="37"/>
      <x:c r="N6" s="36" t="n">
        <x:f>IF(OR(I6="COMPLETED",I6="CANCELLED"),0,MAX(0,'Summary'!$B$3-H6))</x:f>
        <x:v>0</x:v>
      </x:c>
      <x:c r="O6" s="36" t="str">
        <x:f>IF(AND(OR(I6="OPEN",I6="IN_PROGRESS"),H6&lt;'Summary'!$B$3),"OVERDUE","NO_ACTION")</x:f>
        <x:v>NO_ACTION</x:v>
      </x:c>
    </x:row>
    <x:row r="7" ht="24" customHeight="1">
      <x:c r="A7" s="36" t="str">
        <x:v>CAPA-003</x:v>
      </x:c>
      <x:c r="B7" s="36"/>
      <x:c r="C7" s="36" t="str">
        <x:v>FND-004</x:v>
      </x:c>
      <x:c r="D7" s="38" t="str">
        <x:v>Replace expired extinguisher FE-A-014</x:v>
      </x:c>
      <x:c r="E7" s="36" t="str">
        <x:v>CORRECTIVE</x:v>
      </x:c>
      <x:c r="F7" s="36" t="str">
        <x:v>CRITICAL</x:v>
      </x:c>
      <x:c r="G7" s="36" t="str">
        <x:v>EMP-015</x:v>
      </x:c>
      <x:c r="H7" s="40" t="n">
        <x:v>46243</x:v>
      </x:c>
      <x:c r="I7" s="36" t="str">
        <x:v>OPEN</x:v>
      </x:c>
      <x:c r="J7" s="40"/>
      <x:c r="K7" s="36" t="str">
        <x:v>PENDING</x:v>
      </x:c>
      <x:c r="L7" s="36"/>
      <x:c r="M7" s="37" t="n">
        <x:v>46246.25347222222</x:v>
      </x:c>
      <x:c r="N7" s="36" t="n">
        <x:f>IF(OR(I7="COMPLETED",I7="CANCELLED"),0,MAX(0,'Summary'!$B$3-H7))</x:f>
        <x:v>4</x:v>
      </x:c>
      <x:c r="O7" s="36" t="str">
        <x:f>IF(AND(OR(I7="OPEN",I7="IN_PROGRESS"),H7&lt;'Summary'!$B$3),"OVERDUE","NO_ACTION")</x:f>
        <x:v>OVERDUE</x:v>
      </x:c>
    </x:row>
    <x:row r="8" ht="24" customHeight="1">
      <x:c r="A8" s="36" t="str">
        <x:v>CAPA-004</x:v>
      </x:c>
      <x:c r="B8" s="36"/>
      <x:c r="C8" s="36" t="str">
        <x:v>FND-005</x:v>
      </x:c>
      <x:c r="D8" s="38" t="str">
        <x:v>Segregate oxidizer and flammable stock</x:v>
      </x:c>
      <x:c r="E8" s="36" t="str">
        <x:v>CORRECTIVE</x:v>
      </x:c>
      <x:c r="F8" s="36" t="str">
        <x:v>HIGH</x:v>
      </x:c>
      <x:c r="G8" s="36" t="str">
        <x:v>EMP-004</x:v>
      </x:c>
      <x:c r="H8" s="40" t="n">
        <x:v>46241</x:v>
      </x:c>
      <x:c r="I8" s="36" t="str">
        <x:v>IN_PROGRESS</x:v>
      </x:c>
      <x:c r="J8" s="40"/>
      <x:c r="K8" s="36" t="str">
        <x:v>PENDING</x:v>
      </x:c>
      <x:c r="L8" s="36"/>
      <x:c r="M8" s="37" t="n">
        <x:v>46246.256944444445</x:v>
      </x:c>
      <x:c r="N8" s="36" t="n">
        <x:f>IF(OR(I8="COMPLETED",I8="CANCELLED"),0,MAX(0,'Summary'!$B$3-H8))</x:f>
        <x:v>6</x:v>
      </x:c>
      <x:c r="O8" s="36" t="str">
        <x:f>IF(AND(OR(I8="OPEN",I8="IN_PROGRESS"),H8&lt;'Summary'!$B$3),"OVERDUE","NO_ACTION")</x:f>
        <x:v>OVERDUE</x:v>
      </x:c>
    </x:row>
    <x:row r="9" ht="24" customHeight="1">
      <x:c r="A9" s="36" t="str">
        <x:v>CAPA-005</x:v>
      </x:c>
      <x:c r="B9" s="36"/>
      <x:c r="C9" s="36" t="str">
        <x:v>FND-006</x:v>
      </x:c>
      <x:c r="D9" s="38" t="str">
        <x:v>Upload current Arabic SDS for CHM-006</x:v>
      </x:c>
      <x:c r="E9" s="36" t="str">
        <x:v>CORRECTIVE</x:v>
      </x:c>
      <x:c r="F9" s="36" t="str">
        <x:v>MEDIUM</x:v>
      </x:c>
      <x:c r="G9" s="36" t="str">
        <x:v>EMP-034</x:v>
      </x:c>
      <x:c r="H9" s="40" t="n">
        <x:v>46246</x:v>
      </x:c>
      <x:c r="I9" s="36" t="str">
        <x:v>OPEN</x:v>
      </x:c>
      <x:c r="J9" s="40"/>
      <x:c r="K9" s="36" t="str">
        <x:v>PENDING</x:v>
      </x:c>
      <x:c r="L9" s="36"/>
      <x:c r="M9" s="37"/>
      <x:c r="N9" s="36" t="n">
        <x:f>IF(OR(I9="COMPLETED",I9="CANCELLED"),0,MAX(0,'Summary'!$B$3-H9))</x:f>
        <x:v>1</x:v>
      </x:c>
      <x:c r="O9" s="36" t="str">
        <x:f>IF(AND(OR(I9="OPEN",I9="IN_PROGRESS"),H9&lt;'Summary'!$B$3),"OVERDUE","NO_ACTION")</x:f>
        <x:v>OVERDUE</x:v>
      </x:c>
    </x:row>
    <x:row r="10" ht="24" customHeight="1">
      <x:c r="A10" s="36" t="str">
        <x:v>CAPA-006</x:v>
      </x:c>
      <x:c r="B10" s="36"/>
      <x:c r="C10" s="36" t="str">
        <x:v>FND-008</x:v>
      </x:c>
      <x:c r="D10" s="38" t="str">
        <x:v>Reroute temporary electrical cable</x:v>
      </x:c>
      <x:c r="E10" s="36" t="str">
        <x:v>CORRECTIVE</x:v>
      </x:c>
      <x:c r="F10" s="36" t="str">
        <x:v>HIGH</x:v>
      </x:c>
      <x:c r="G10" s="36" t="str">
        <x:v>EMP-015</x:v>
      </x:c>
      <x:c r="H10" s="40" t="n">
        <x:v>46237</x:v>
      </x:c>
      <x:c r="I10" s="36" t="str">
        <x:v>OPEN</x:v>
      </x:c>
      <x:c r="J10" s="40"/>
      <x:c r="K10" s="36" t="str">
        <x:v>PENDING</x:v>
      </x:c>
      <x:c r="L10" s="36"/>
      <x:c r="M10" s="37" t="n">
        <x:v>46244.25</x:v>
      </x:c>
      <x:c r="N10" s="36" t="n">
        <x:f>IF(OR(I10="COMPLETED",I10="CANCELLED"),0,MAX(0,'Summary'!$B$3-H10))</x:f>
        <x:v>10</x:v>
      </x:c>
      <x:c r="O10" s="36" t="str">
        <x:f>IF(AND(OR(I10="OPEN",I10="IN_PROGRESS"),H10&lt;'Summary'!$B$3),"OVERDUE","NO_ACTION")</x:f>
        <x:v>OVERDUE</x:v>
      </x:c>
    </x:row>
    <x:row r="11" ht="24" customHeight="1">
      <x:c r="A11" s="36" t="str">
        <x:v>CAPA-007</x:v>
      </x:c>
      <x:c r="B11" s="36"/>
      <x:c r="C11" s="36" t="str">
        <x:v>FND-011</x:v>
      </x:c>
      <x:c r="D11" s="38" t="str">
        <x:v>Reconcile spare LOTO lock register</x:v>
      </x:c>
      <x:c r="E11" s="36" t="str">
        <x:v>CORRECTIVE</x:v>
      </x:c>
      <x:c r="F11" s="36" t="str">
        <x:v>MEDIUM</x:v>
      </x:c>
      <x:c r="G11" s="36" t="str">
        <x:v>EMP-006</x:v>
      </x:c>
      <x:c r="H11" s="40" t="n">
        <x:v>46248</x:v>
      </x:c>
      <x:c r="I11" s="36" t="str">
        <x:v>IN_PROGRESS</x:v>
      </x:c>
      <x:c r="J11" s="40"/>
      <x:c r="K11" s="36" t="str">
        <x:v>PENDING</x:v>
      </x:c>
      <x:c r="L11" s="36"/>
      <x:c r="M11" s="37"/>
      <x:c r="N11" s="36" t="n">
        <x:f>IF(OR(I11="COMPLETED",I11="CANCELLED"),0,MAX(0,'Summary'!$B$3-H11))</x:f>
        <x:v>0</x:v>
      </x:c>
      <x:c r="O11" s="36" t="str">
        <x:f>IF(AND(OR(I11="OPEN",I11="IN_PROGRESS"),H11&lt;'Summary'!$B$3),"OVERDUE","NO_ACTION")</x:f>
        <x:v>NO_ACTION</x:v>
      </x:c>
    </x:row>
    <x:row r="12" ht="24" customHeight="1">
      <x:c r="A12" s="36" t="str">
        <x:v>CAPA-008</x:v>
      </x:c>
      <x:c r="B12" s="36"/>
      <x:c r="C12" s="36" t="str">
        <x:v>FND-012</x:v>
      </x:c>
      <x:c r="D12" s="38" t="str">
        <x:v>Maintain fire equipment clearance marking</x:v>
      </x:c>
      <x:c r="E12" s="36" t="str">
        <x:v>PREVENTIVE</x:v>
      </x:c>
      <x:c r="F12" s="36" t="str">
        <x:v>MEDIUM</x:v>
      </x:c>
      <x:c r="G12" s="36" t="str">
        <x:v>EMP-013</x:v>
      </x:c>
      <x:c r="H12" s="40" t="n">
        <x:v>46245</x:v>
      </x:c>
      <x:c r="I12" s="36" t="str">
        <x:v>COMPLETED</x:v>
      </x:c>
      <x:c r="J12" s="40" t="n">
        <x:v>46242</x:v>
      </x:c>
      <x:c r="K12" s="36" t="str">
        <x:v>VERIFIED</x:v>
      </x:c>
      <x:c r="L12" s="36" t="str">
        <x:v>EMP-012</x:v>
      </x:c>
      <x:c r="M12" s="37"/>
      <x:c r="N12" s="36" t="n">
        <x:f>IF(OR(I12="COMPLETED",I12="CANCELLED"),0,MAX(0,'Summary'!$B$3-H12))</x:f>
        <x:v>0</x:v>
      </x:c>
      <x:c r="O12" s="36" t="str">
        <x:f>IF(AND(OR(I12="OPEN",I12="IN_PROGRESS"),H12&lt;'Summary'!$B$3),"OVERDUE","NO_ACTION")</x:f>
        <x:v>NO_ACTION</x:v>
      </x:c>
    </x:row>
    <x:row r="13" ht="24" customHeight="1">
      <x:c r="A13" s="36" t="str">
        <x:v>CAPA-009</x:v>
      </x:c>
      <x:c r="B13" s="36" t="str">
        <x:v>INC-2026-0088</x:v>
      </x:c>
      <x:c r="C13" s="36"/>
      <x:c r="D13" s="38" t="str">
        <x:v>Add roll chocks to transport trolley</x:v>
      </x:c>
      <x:c r="E13" s="36" t="str">
        <x:v>CORRECTIVE</x:v>
      </x:c>
      <x:c r="F13" s="36" t="str">
        <x:v>HIGH</x:v>
      </x:c>
      <x:c r="G13" s="36" t="str">
        <x:v>EMP-001</x:v>
      </x:c>
      <x:c r="H13" s="40" t="n">
        <x:v>46252</x:v>
      </x:c>
      <x:c r="I13" s="36" t="str">
        <x:v>IN_PROGRESS</x:v>
      </x:c>
      <x:c r="J13" s="40"/>
      <x:c r="K13" s="36" t="str">
        <x:v>PENDING</x:v>
      </x:c>
      <x:c r="L13" s="36"/>
      <x:c r="M13" s="37"/>
      <x:c r="N13" s="36" t="n">
        <x:f>IF(OR(I13="COMPLETED",I13="CANCELLED"),0,MAX(0,'Summary'!$B$3-H13))</x:f>
        <x:v>0</x:v>
      </x:c>
      <x:c r="O13" s="36" t="str">
        <x:f>IF(AND(OR(I13="OPEN",I13="IN_PROGRESS"),H13&lt;'Summary'!$B$3),"OVERDUE","NO_ACTION")</x:f>
        <x:v>NO_ACTION</x:v>
      </x:c>
    </x:row>
    <x:row r="14" ht="24" customHeight="1">
      <x:c r="A14" s="36" t="str">
        <x:v>CAPA-010</x:v>
      </x:c>
      <x:c r="B14" s="36" t="str">
        <x:v>INC-2026-0087</x:v>
      </x:c>
      <x:c r="C14" s="36"/>
      <x:c r="D14" s="38" t="str">
        <x:v>Inspect and certify affected rack upright</x:v>
      </x:c>
      <x:c r="E14" s="36" t="str">
        <x:v>CORRECTIVE</x:v>
      </x:c>
      <x:c r="F14" s="36" t="str">
        <x:v>HIGH</x:v>
      </x:c>
      <x:c r="G14" s="36" t="str">
        <x:v>EMP-004</x:v>
      </x:c>
      <x:c r="H14" s="40" t="n">
        <x:v>46245</x:v>
      </x:c>
      <x:c r="I14" s="36" t="str">
        <x:v>COMPLETED</x:v>
      </x:c>
      <x:c r="J14" s="40" t="n">
        <x:v>46244</x:v>
      </x:c>
      <x:c r="K14" s="36" t="str">
        <x:v>PENDING_VERIFICATION</x:v>
      </x:c>
      <x:c r="L14" s="36" t="str">
        <x:v>EMP-011</x:v>
      </x:c>
      <x:c r="M14" s="37"/>
      <x:c r="N14" s="36" t="n">
        <x:f>IF(OR(I14="COMPLETED",I14="CANCELLED"),0,MAX(0,'Summary'!$B$3-H14))</x:f>
        <x:v>0</x:v>
      </x:c>
      <x:c r="O14" s="36" t="str">
        <x:f>IF(AND(OR(I14="OPEN",I14="IN_PROGRESS"),H14&lt;'Summary'!$B$3),"OVERDUE","NO_ACTION")</x:f>
        <x:v>NO_ACTION</x:v>
      </x:c>
    </x:row>
    <x:row r="15" ht="24" customHeight="1">
      <x:c r="A15" s="36" t="str">
        <x:v>CAPA-011</x:v>
      </x:c>
      <x:c r="B15" s="36" t="str">
        <x:v>INC-2026-0085</x:v>
      </x:c>
      <x:c r="C15" s="36"/>
      <x:c r="D15" s="38" t="str">
        <x:v>Update MV test-before-touch checklist</x:v>
      </x:c>
      <x:c r="E15" s="36" t="str">
        <x:v>PREVENTIVE</x:v>
      </x:c>
      <x:c r="F15" s="36" t="str">
        <x:v>HIGH</x:v>
      </x:c>
      <x:c r="G15" s="36" t="str">
        <x:v>EMP-006</x:v>
      </x:c>
      <x:c r="H15" s="40" t="n">
        <x:v>46235</x:v>
      </x:c>
      <x:c r="I15" s="36" t="str">
        <x:v>COMPLETED</x:v>
      </x:c>
      <x:c r="J15" s="40" t="n">
        <x:v>46233</x:v>
      </x:c>
      <x:c r="K15" s="36" t="str">
        <x:v>VERIFIED</x:v>
      </x:c>
      <x:c r="L15" s="36" t="str">
        <x:v>EMP-010</x:v>
      </x:c>
      <x:c r="M15" s="37"/>
      <x:c r="N15" s="36" t="n">
        <x:f>IF(OR(I15="COMPLETED",I15="CANCELLED"),0,MAX(0,'Summary'!$B$3-H15))</x:f>
        <x:v>0</x:v>
      </x:c>
      <x:c r="O15" s="36" t="str">
        <x:f>IF(AND(OR(I15="OPEN",I15="IN_PROGRESS"),H15&lt;'Summary'!$B$3),"OVERDUE","NO_ACTION")</x:f>
        <x:v>NO_ACTION</x:v>
      </x:c>
    </x:row>
    <x:row r="16" ht="24" customHeight="1">
      <x:c r="A16" s="36" t="str">
        <x:v>CAPA-012</x:v>
      </x:c>
      <x:c r="B16" s="36" t="str">
        <x:v>INC-2026-0084</x:v>
      </x:c>
      <x:c r="C16" s="36"/>
      <x:c r="D16" s="38" t="str">
        <x:v>Improve drainage at injection cooling area</x:v>
      </x:c>
      <x:c r="E16" s="36" t="str">
        <x:v>CORRECTIVE</x:v>
      </x:c>
      <x:c r="F16" s="36" t="str">
        <x:v>CRITICAL</x:v>
      </x:c>
      <x:c r="G16" s="36" t="str">
        <x:v>EMP-001</x:v>
      </x:c>
      <x:c r="H16" s="40" t="n">
        <x:v>46231</x:v>
      </x:c>
      <x:c r="I16" s="36" t="str">
        <x:v>COMPLETED</x:v>
      </x:c>
      <x:c r="J16" s="40" t="n">
        <x:v>46230</x:v>
      </x:c>
      <x:c r="K16" s="36" t="str">
        <x:v>VERIFIED</x:v>
      </x:c>
      <x:c r="L16" s="36" t="str">
        <x:v>EMP-008</x:v>
      </x:c>
      <x:c r="M16" s="37"/>
      <x:c r="N16" s="36" t="n">
        <x:f>IF(OR(I16="COMPLETED",I16="CANCELLED"),0,MAX(0,'Summary'!$B$3-H16))</x:f>
        <x:v>0</x:v>
      </x:c>
      <x:c r="O16" s="36" t="str">
        <x:f>IF(AND(OR(I16="OPEN",I16="IN_PROGRESS"),H16&lt;'Summary'!$B$3),"OVERDUE","NO_ACTION")</x:f>
        <x:v>NO_ACTION</x:v>
      </x:c>
    </x:row>
    <x:row r="17" ht="24" customHeight="1">
      <x:c r="A17" s="36" t="str">
        <x:v>CAPA-013</x:v>
      </x:c>
      <x:c r="B17" s="36" t="str">
        <x:v>INC-2026-0083</x:v>
      </x:c>
      <x:c r="C17" s="36"/>
      <x:c r="D17" s="38" t="str">
        <x:v>Replace chemical-resistant glove stock</x:v>
      </x:c>
      <x:c r="E17" s="36" t="str">
        <x:v>CORRECTIVE</x:v>
      </x:c>
      <x:c r="F17" s="36" t="str">
        <x:v>MEDIUM</x:v>
      </x:c>
      <x:c r="G17" s="36" t="str">
        <x:v>EMP-005</x:v>
      </x:c>
      <x:c r="H17" s="40" t="n">
        <x:v>46221</x:v>
      </x:c>
      <x:c r="I17" s="36" t="str">
        <x:v>COMPLETED</x:v>
      </x:c>
      <x:c r="J17" s="40" t="n">
        <x:v>46220</x:v>
      </x:c>
      <x:c r="K17" s="36" t="str">
        <x:v>VERIFIED</x:v>
      </x:c>
      <x:c r="L17" s="36" t="str">
        <x:v>EMP-012</x:v>
      </x:c>
      <x:c r="M17" s="37"/>
      <x:c r="N17" s="36" t="n">
        <x:f>IF(OR(I17="COMPLETED",I17="CANCELLED"),0,MAX(0,'Summary'!$B$3-H17))</x:f>
        <x:v>0</x:v>
      </x:c>
      <x:c r="O17" s="36" t="str">
        <x:f>IF(AND(OR(I17="OPEN",I17="IN_PROGRESS"),H17&lt;'Summary'!$B$3),"OVERDUE","NO_ACTION")</x:f>
        <x:v>NO_ACTION</x:v>
      </x:c>
    </x:row>
    <x:row r="18" ht="24" customHeight="1">
      <x:c r="A18" s="36" t="str">
        <x:v>CAPA-014</x:v>
      </x:c>
      <x:c r="B18" s="36" t="str">
        <x:v>INC-2026-0078</x:v>
      </x:c>
      <x:c r="C18" s="36"/>
      <x:c r="D18" s="38" t="str">
        <x:v>Resurface loading pedestrian path</x:v>
      </x:c>
      <x:c r="E18" s="36" t="str">
        <x:v>CORRECTIVE</x:v>
      </x:c>
      <x:c r="F18" s="36" t="str">
        <x:v>CRITICAL</x:v>
      </x:c>
      <x:c r="G18" s="36" t="str">
        <x:v>EMP-004</x:v>
      </x:c>
      <x:c r="H18" s="40" t="n">
        <x:v>46106</x:v>
      </x:c>
      <x:c r="I18" s="36" t="str">
        <x:v>COMPLETED</x:v>
      </x:c>
      <x:c r="J18" s="40" t="n">
        <x:v>46104</x:v>
      </x:c>
      <x:c r="K18" s="36" t="str">
        <x:v>VERIFIED</x:v>
      </x:c>
      <x:c r="L18" s="36" t="str">
        <x:v>EMP-008</x:v>
      </x:c>
      <x:c r="M18" s="37"/>
      <x:c r="N18" s="36" t="n">
        <x:f>IF(OR(I18="COMPLETED",I18="CANCELLED"),0,MAX(0,'Summary'!$B$3-H18))</x:f>
        <x:v>0</x:v>
      </x:c>
      <x:c r="O18" s="36" t="str">
        <x:f>IF(AND(OR(I18="OPEN",I18="IN_PROGRESS"),H18&lt;'Summary'!$B$3),"OVERDUE","NO_ACTION")</x:f>
        <x:v>NO_ACTION</x:v>
      </x:c>
    </x:row>
    <x:row r="19" ht="24" customHeight="1">
      <x:c r="A19" s="41" t="str">
        <x:v>CAPA-015</x:v>
      </x:c>
      <x:c r="B19" s="41"/>
      <x:c r="C19" s="41"/>
      <x:c r="D19" s="43" t="str">
        <x:v>Future test case without assignee</x:v>
      </x:c>
      <x:c r="E19" s="41" t="str">
        <x:v>PREVENTIVE</x:v>
      </x:c>
      <x:c r="F19" s="41" t="str">
        <x:v>LOW</x:v>
      </x:c>
      <x:c r="G19" s="41"/>
      <x:c r="H19" s="45" t="n">
        <x:v>46254</x:v>
      </x:c>
      <x:c r="I19" s="41" t="str">
        <x:v>DRAFT</x:v>
      </x:c>
      <x:c r="J19" s="45"/>
      <x:c r="K19" s="41" t="str">
        <x:v>NOT_REQUIRED</x:v>
      </x:c>
      <x:c r="L19" s="41"/>
      <x:c r="M19" s="42"/>
      <x:c r="N19" s="41" t="n">
        <x:f>IF(OR(I19="COMPLETED",I19="CANCELLED"),0,MAX(0,'Summary'!$B$3-H19))</x:f>
        <x:v>0</x:v>
      </x:c>
      <x:c r="O19" s="41" t="str">
        <x:f>IF(AND(OR(I19="OPEN",I19="IN_PROGRESS"),H19&lt;'Summary'!$B$3),"OVERDUE","NO_ACTION")</x:f>
        <x:v>NO_ACTION</x:v>
      </x:c>
    </x:row>
  </x:sheetData>
  <x:mergeCells>
    <x:mergeCell ref="A1:O1"/>
    <x:mergeCell ref="A2:O2"/>
  </x:mergeCells>
  <x:conditionalFormatting sqref="F5:F19">
    <x:cfRule type="containsText" dxfId="165" priority="1" operator="containsText" text="CRITICAL"/>
    <x:cfRule type="containsText" dxfId="166" priority="2" operator="containsText" text="EXPIRED"/>
    <x:cfRule type="containsText" dxfId="167" priority="3" operator="containsText" text="FAILED"/>
    <x:cfRule type="containsText" dxfId="168" priority="4" operator="containsText" text="OVERDUE"/>
    <x:cfRule type="containsText" dxfId="169" priority="5" operator="containsText" text="REJECTED"/>
    <x:cfRule type="containsText" dxfId="170" priority="6" operator="containsText" text="OUT_OF_SERVICE"/>
    <x:cfRule type="containsText" dxfId="171" priority="7" operator="containsText" text="BELOW_THRESHOLD"/>
    <x:cfRule type="containsText" dxfId="172" priority="8" operator="containsText" text="HIGH"/>
    <x:cfRule type="containsText" dxfId="173" priority="9" operator="containsText" text="WARNING"/>
    <x:cfRule type="containsText" dxfId="174" priority="10" operator="containsText" text="DUE_SOON"/>
    <x:cfRule type="containsText" dxfId="175" priority="11" operator="containsText" text="OPEN"/>
    <x:cfRule type="containsText" dxfId="176" priority="12" operator="containsText" text="PENDING"/>
    <x:cfRule type="containsText" dxfId="177" priority="13" operator="containsText" text="SUSPENDED"/>
    <x:cfRule type="containsText" dxfId="178" priority="14" operator="containsText" text="TESTING"/>
    <x:cfRule type="containsText" dxfId="179" priority="15" operator="containsText" text="PARTIAL_FAILURE"/>
    <x:cfRule type="containsText" dxfId="180" priority="16" operator="containsText" text="LOW_STOCK"/>
    <x:cfRule type="containsText" dxfId="181" priority="17" operator="containsText" text="ACTIVE"/>
    <x:cfRule type="containsText" dxfId="182" priority="18" operator="containsText" text="VALID"/>
    <x:cfRule type="containsText" dxfId="183" priority="19" operator="containsText" text="SUCCESS"/>
    <x:cfRule type="containsText" dxfId="184" priority="20" operator="containsText" text="COMPLETED"/>
    <x:cfRule type="containsText" dxfId="185" priority="21" operator="containsText" text="CLOSED"/>
    <x:cfRule type="containsText" dxfId="186" priority="22" operator="containsText" text="CONNECTED"/>
    <x:cfRule type="containsText" dxfId="187" priority="23" operator="containsText" text="NORMAL"/>
    <x:cfRule type="containsText" dxfId="188" priority="24" operator="containsText" text="VERIFIED"/>
    <x:cfRule type="containsText" dxfId="189" priority="25" operator="containsText" text="RESOLVED"/>
    <x:cfRule type="containsText" dxfId="190" priority="26" operator="containsText" text="PASS"/>
    <x:cfRule type="containsText" dxfId="191" priority="27" operator="containsText" text="OK"/>
    <x:cfRule type="containsText" dxfId="192" priority="28" operator="containsText" text="INFO"/>
    <x:cfRule type="containsText" dxfId="193" priority="29" operator="containsText" text="DRAFT"/>
    <x:cfRule type="containsText" dxfId="194" priority="30" operator="containsText" text="SCHEDULED"/>
    <x:cfRule type="containsText" dxfId="195" priority="31" operator="containsText" text="IN_PROGRESS"/>
    <x:cfRule type="containsText" dxfId="196" priority="32" operator="containsText" text="MODEL_REVIEW"/>
    <x:cfRule type="containsText" dxfId="197" priority="33" operator="containsText" text="READ"/>
  </x:conditionalFormatting>
  <x:conditionalFormatting sqref="I5:I19">
    <x:cfRule type="containsText" dxfId="198" priority="34" operator="containsText" text="CRITICAL"/>
    <x:cfRule type="containsText" dxfId="199" priority="35" operator="containsText" text="EXPIRED"/>
    <x:cfRule type="containsText" dxfId="200" priority="36" operator="containsText" text="FAILED"/>
    <x:cfRule type="containsText" dxfId="201" priority="37" operator="containsText" text="OVERDUE"/>
    <x:cfRule type="containsText" dxfId="202" priority="38" operator="containsText" text="REJECTED"/>
    <x:cfRule type="containsText" dxfId="203" priority="39" operator="containsText" text="OUT_OF_SERVICE"/>
    <x:cfRule type="containsText" dxfId="204" priority="40" operator="containsText" text="BELOW_THRESHOLD"/>
    <x:cfRule type="containsText" dxfId="205" priority="41" operator="containsText" text="HIGH"/>
    <x:cfRule type="containsText" dxfId="206" priority="42" operator="containsText" text="WARNING"/>
    <x:cfRule type="containsText" dxfId="207" priority="43" operator="containsText" text="DUE_SOON"/>
    <x:cfRule type="containsText" dxfId="208" priority="44" operator="containsText" text="OPEN"/>
    <x:cfRule type="containsText" dxfId="209" priority="45" operator="containsText" text="PENDING"/>
    <x:cfRule type="containsText" dxfId="210" priority="46" operator="containsText" text="SUSPENDED"/>
    <x:cfRule type="containsText" dxfId="211" priority="47" operator="containsText" text="TESTING"/>
    <x:cfRule type="containsText" dxfId="212" priority="48" operator="containsText" text="PARTIAL_FAILURE"/>
    <x:cfRule type="containsText" dxfId="213" priority="49" operator="containsText" text="LOW_STOCK"/>
    <x:cfRule type="containsText" dxfId="214" priority="50" operator="containsText" text="ACTIVE"/>
    <x:cfRule type="containsText" dxfId="215" priority="51" operator="containsText" text="VALID"/>
    <x:cfRule type="containsText" dxfId="216" priority="52" operator="containsText" text="SUCCESS"/>
    <x:cfRule type="containsText" dxfId="217" priority="53" operator="containsText" text="COMPLETED"/>
    <x:cfRule type="containsText" dxfId="218" priority="54" operator="containsText" text="CLOSED"/>
    <x:cfRule type="containsText" dxfId="219" priority="55" operator="containsText" text="CONNECTED"/>
    <x:cfRule type="containsText" dxfId="220" priority="56" operator="containsText" text="NORMAL"/>
    <x:cfRule type="containsText" dxfId="221" priority="57" operator="containsText" text="VERIFIED"/>
    <x:cfRule type="containsText" dxfId="222" priority="58" operator="containsText" text="RESOLVED"/>
    <x:cfRule type="containsText" dxfId="223" priority="59" operator="containsText" text="PASS"/>
    <x:cfRule type="containsText" dxfId="224" priority="60" operator="containsText" text="OK"/>
    <x:cfRule type="containsText" dxfId="225" priority="61" operator="containsText" text="INFO"/>
    <x:cfRule type="containsText" dxfId="226" priority="62" operator="containsText" text="DRAFT"/>
    <x:cfRule type="containsText" dxfId="227" priority="63" operator="containsText" text="SCHEDULED"/>
    <x:cfRule type="containsText" dxfId="228" priority="64" operator="containsText" text="IN_PROGRESS"/>
    <x:cfRule type="containsText" dxfId="229" priority="65" operator="containsText" text="MODEL_REVIEW"/>
    <x:cfRule type="containsText" dxfId="230" priority="66" operator="containsText" text="READ"/>
  </x:conditionalFormatting>
  <x:conditionalFormatting sqref="K5:K19">
    <x:cfRule type="containsText" dxfId="231" priority="67" operator="containsText" text="CRITICAL"/>
    <x:cfRule type="containsText" dxfId="232" priority="68" operator="containsText" text="EXPIRED"/>
    <x:cfRule type="containsText" dxfId="233" priority="69" operator="containsText" text="FAILED"/>
    <x:cfRule type="containsText" dxfId="234" priority="70" operator="containsText" text="OVERDUE"/>
    <x:cfRule type="containsText" dxfId="235" priority="71" operator="containsText" text="REJECTED"/>
    <x:cfRule type="containsText" dxfId="236" priority="72" operator="containsText" text="OUT_OF_SERVICE"/>
    <x:cfRule type="containsText" dxfId="237" priority="73" operator="containsText" text="BELOW_THRESHOLD"/>
    <x:cfRule type="containsText" dxfId="238" priority="74" operator="containsText" text="HIGH"/>
    <x:cfRule type="containsText" dxfId="239" priority="75" operator="containsText" text="WARNING"/>
    <x:cfRule type="containsText" dxfId="240" priority="76" operator="containsText" text="DUE_SOON"/>
    <x:cfRule type="containsText" dxfId="241" priority="77" operator="containsText" text="OPEN"/>
    <x:cfRule type="containsText" dxfId="242" priority="78" operator="containsText" text="PENDING"/>
    <x:cfRule type="containsText" dxfId="243" priority="79" operator="containsText" text="SUSPENDED"/>
    <x:cfRule type="containsText" dxfId="244" priority="80" operator="containsText" text="TESTING"/>
    <x:cfRule type="containsText" dxfId="245" priority="81" operator="containsText" text="PARTIAL_FAILURE"/>
    <x:cfRule type="containsText" dxfId="246" priority="82" operator="containsText" text="LOW_STOCK"/>
    <x:cfRule type="containsText" dxfId="247" priority="83" operator="containsText" text="ACTIVE"/>
    <x:cfRule type="containsText" dxfId="248" priority="84" operator="containsText" text="VALID"/>
    <x:cfRule type="containsText" dxfId="249" priority="85" operator="containsText" text="SUCCESS"/>
    <x:cfRule type="containsText" dxfId="250" priority="86" operator="containsText" text="COMPLETED"/>
    <x:cfRule type="containsText" dxfId="251" priority="87" operator="containsText" text="CLOSED"/>
    <x:cfRule type="containsText" dxfId="252" priority="88" operator="containsText" text="CONNECTED"/>
    <x:cfRule type="containsText" dxfId="253" priority="89" operator="containsText" text="NORMAL"/>
    <x:cfRule type="containsText" dxfId="254" priority="90" operator="containsText" text="VERIFIED"/>
    <x:cfRule type="containsText" dxfId="255" priority="91" operator="containsText" text="RESOLVED"/>
    <x:cfRule type="containsText" dxfId="256" priority="92" operator="containsText" text="PASS"/>
    <x:cfRule type="containsText" dxfId="257" priority="93" operator="containsText" text="OK"/>
    <x:cfRule type="containsText" dxfId="258" priority="94" operator="containsText" text="INFO"/>
    <x:cfRule type="containsText" dxfId="259" priority="95" operator="containsText" text="DRAFT"/>
    <x:cfRule type="containsText" dxfId="260" priority="96" operator="containsText" text="SCHEDULED"/>
    <x:cfRule type="containsText" dxfId="261" priority="97" operator="containsText" text="IN_PROGRESS"/>
    <x:cfRule type="containsText" dxfId="262" priority="98" operator="containsText" text="MODEL_REVIEW"/>
    <x:cfRule type="containsText" dxfId="263" priority="99" operator="containsText" text="READ"/>
  </x:conditionalFormatting>
  <x:conditionalFormatting sqref="O5:O19">
    <x:cfRule type="containsText" dxfId="264" priority="100" operator="containsText" text="CRITICAL"/>
    <x:cfRule type="containsText" dxfId="265" priority="101" operator="containsText" text="EXPIRED"/>
    <x:cfRule type="containsText" dxfId="266" priority="102" operator="containsText" text="FAILED"/>
    <x:cfRule type="containsText" dxfId="267" priority="103" operator="containsText" text="OVERDUE"/>
    <x:cfRule type="containsText" dxfId="268" priority="104" operator="containsText" text="REJECTED"/>
    <x:cfRule type="containsText" dxfId="269" priority="105" operator="containsText" text="OUT_OF_SERVICE"/>
    <x:cfRule type="containsText" dxfId="270" priority="106" operator="containsText" text="BELOW_THRESHOLD"/>
    <x:cfRule type="containsText" dxfId="271" priority="107" operator="containsText" text="HIGH"/>
    <x:cfRule type="containsText" dxfId="272" priority="108" operator="containsText" text="WARNING"/>
    <x:cfRule type="containsText" dxfId="273" priority="109" operator="containsText" text="DUE_SOON"/>
    <x:cfRule type="containsText" dxfId="274" priority="110" operator="containsText" text="OPEN"/>
    <x:cfRule type="containsText" dxfId="275" priority="111" operator="containsText" text="PENDING"/>
    <x:cfRule type="containsText" dxfId="276" priority="112" operator="containsText" text="SUSPENDED"/>
    <x:cfRule type="containsText" dxfId="277" priority="113" operator="containsText" text="TESTING"/>
    <x:cfRule type="containsText" dxfId="278" priority="114" operator="containsText" text="PARTIAL_FAILURE"/>
    <x:cfRule type="containsText" dxfId="279" priority="115" operator="containsText" text="LOW_STOCK"/>
    <x:cfRule type="containsText" dxfId="280" priority="116" operator="containsText" text="ACTIVE"/>
    <x:cfRule type="containsText" dxfId="281" priority="117" operator="containsText" text="VALID"/>
    <x:cfRule type="containsText" dxfId="282" priority="118" operator="containsText" text="SUCCESS"/>
    <x:cfRule type="containsText" dxfId="283" priority="119" operator="containsText" text="COMPLETED"/>
    <x:cfRule type="containsText" dxfId="284" priority="120" operator="containsText" text="CLOSED"/>
    <x:cfRule type="containsText" dxfId="285" priority="121" operator="containsText" text="CONNECTED"/>
    <x:cfRule type="containsText" dxfId="286" priority="122" operator="containsText" text="NORMAL"/>
    <x:cfRule type="containsText" dxfId="287" priority="123" operator="containsText" text="VERIFIED"/>
    <x:cfRule type="containsText" dxfId="288" priority="124" operator="containsText" text="RESOLVED"/>
    <x:cfRule type="containsText" dxfId="289" priority="125" operator="containsText" text="PASS"/>
    <x:cfRule type="containsText" dxfId="290" priority="126" operator="containsText" text="OK"/>
    <x:cfRule type="containsText" dxfId="291" priority="127" operator="containsText" text="INFO"/>
    <x:cfRule type="containsText" dxfId="292" priority="128" operator="containsText" text="DRAFT"/>
    <x:cfRule type="containsText" dxfId="293" priority="129" operator="containsText" text="SCHEDULED"/>
    <x:cfRule type="containsText" dxfId="294" priority="130" operator="containsText" text="IN_PROGRESS"/>
    <x:cfRule type="containsText" dxfId="295" priority="131" operator="containsText" text="MODEL_REVIEW"/>
    <x:cfRule type="containsText" dxfId="296" priority="132" operator="containsText" text="READ"/>
  </x:conditionalFormatting>
  <x:dataValidations count="4">
    <x:dataValidation type="list" sqref="E5:E19">
      <x:formula1>"CORRECTIVE,PREVENTIVE"</x:formula1>
    </x:dataValidation>
    <x:dataValidation type="list" sqref="F5:F19">
      <x:formula1>"LOW,MEDIUM,HIGH,CRITICAL"</x:formula1>
    </x:dataValidation>
    <x:dataValidation type="list" sqref="I5:I19">
      <x:formula1>"DRAFT,OPEN,IN_PROGRESS,COMPLETED,CANCELLED"</x:formula1>
    </x:dataValidation>
    <x:dataValidation type="list" sqref="K5:K19">
      <x:formula1>"NOT_REQUIRED,PENDING,PENDING_VERIFICATION,VERIFIED,REJECTED"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e9c9ebfeb44c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4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2" customHeight="1">
      <x:c r="A1" s="17" t="str">
        <x:v>ESCA HSE | Risk_Register</x:v>
      </x:c>
      <x:c r="B1" s="17" t="str">
        <x:v>ESCA HSE | Risk_Register</x:v>
      </x:c>
      <x:c r="C1" s="17" t="str">
        <x:v>ESCA HSE | Risk_Register</x:v>
      </x:c>
      <x:c r="D1" s="17" t="str">
        <x:v>ESCA HSE | Risk_Register</x:v>
      </x:c>
      <x:c r="E1" s="17" t="str">
        <x:v>ESCA HSE | Risk_Register</x:v>
      </x:c>
      <x:c r="F1" s="17" t="str">
        <x:v>ESCA HSE | Risk_Register</x:v>
      </x:c>
      <x:c r="G1" s="17" t="str">
        <x:v>ESCA HSE | Risk_Register</x:v>
      </x:c>
      <x:c r="H1" s="17" t="str">
        <x:v>ESCA HSE | Risk_Register</x:v>
      </x:c>
      <x:c r="I1" s="17" t="str">
        <x:v>ESCA HSE | Risk_Register</x:v>
      </x:c>
      <x:c r="J1" s="17" t="str">
        <x:v>ESCA HSE | Risk_Register</x:v>
      </x:c>
      <x:c r="K1" s="17" t="str">
        <x:v>ESCA HSE | Risk_Register</x:v>
      </x:c>
      <x:c r="L1" s="17" t="str">
        <x:v>ESCA HSE | Risk_Register</x:v>
      </x:c>
      <x:c r="M1" s="17" t="str">
        <x:v>ESCA HSE | Risk_Register</x:v>
      </x:c>
      <x:c r="N1" s="17" t="str">
        <x:v>ESCA HSE | Risk_Register</x:v>
      </x:c>
      <x:c r="O1" s="17" t="str">
        <x:v>ESCA HSE | Risk_Register</x:v>
      </x:c>
      <x:c r="P1" s="17" t="str">
        <x:v>ESCA HSE | Risk_Register</x:v>
      </x:c>
      <x:c r="Q1" s="17" t="str">
        <x:v>ESCA HSE | Risk_Register</x:v>
      </x:c>
      <x:c r="R1" s="17" t="str">
        <x:v>ESCA HSE | Risk_Register</x:v>
      </x:c>
    </x:row>
    <x:row r="2" ht="28" customHeight="1">
      <x:c r="A2" s="21" t="str">
        <x:v>HIRA risk register | Owner: Member 1 | Synthetic sample data | Snapshot: 2026-08-13</x:v>
      </x:c>
      <x:c r="B2" s="21" t="str">
        <x:v>HIRA risk register | Owner: Member 1 | Synthetic sample data | Snapshot: 2026-08-13</x:v>
      </x:c>
      <x:c r="C2" s="21" t="str">
        <x:v>HIRA risk register | Owner: Member 1 | Synthetic sample data | Snapshot: 2026-08-13</x:v>
      </x:c>
      <x:c r="D2" s="21" t="str">
        <x:v>HIRA risk register | Owner: Member 1 | Synthetic sample data | Snapshot: 2026-08-13</x:v>
      </x:c>
      <x:c r="E2" s="21" t="str">
        <x:v>HIRA risk register | Owner: Member 1 | Synthetic sample data | Snapshot: 2026-08-13</x:v>
      </x:c>
      <x:c r="F2" s="21" t="str">
        <x:v>HIRA risk register | Owner: Member 1 | Synthetic sample data | Snapshot: 2026-08-13</x:v>
      </x:c>
      <x:c r="G2" s="21" t="str">
        <x:v>HIRA risk register | Owner: Member 1 | Synthetic sample data | Snapshot: 2026-08-13</x:v>
      </x:c>
      <x:c r="H2" s="21" t="str">
        <x:v>HIRA risk register | Owner: Member 1 | Synthetic sample data | Snapshot: 2026-08-13</x:v>
      </x:c>
      <x:c r="I2" s="21" t="str">
        <x:v>HIRA risk register | Owner: Member 1 | Synthetic sample data | Snapshot: 2026-08-13</x:v>
      </x:c>
      <x:c r="J2" s="21" t="str">
        <x:v>HIRA risk register | Owner: Member 1 | Synthetic sample data | Snapshot: 2026-08-13</x:v>
      </x:c>
      <x:c r="K2" s="21" t="str">
        <x:v>HIRA risk register | Owner: Member 1 | Synthetic sample data | Snapshot: 2026-08-13</x:v>
      </x:c>
      <x:c r="L2" s="21" t="str">
        <x:v>HIRA risk register | Owner: Member 1 | Synthetic sample data | Snapshot: 2026-08-13</x:v>
      </x:c>
      <x:c r="M2" s="21" t="str">
        <x:v>HIRA risk register | Owner: Member 1 | Synthetic sample data | Snapshot: 2026-08-13</x:v>
      </x:c>
      <x:c r="N2" s="21" t="str">
        <x:v>HIRA risk register | Owner: Member 1 | Synthetic sample data | Snapshot: 2026-08-13</x:v>
      </x:c>
      <x:c r="O2" s="21" t="str">
        <x:v>HIRA risk register | Owner: Member 1 | Synthetic sample data | Snapshot: 2026-08-13</x:v>
      </x:c>
      <x:c r="P2" s="21" t="str">
        <x:v>HIRA risk register | Owner: Member 1 | Synthetic sample data | Snapshot: 2026-08-13</x:v>
      </x:c>
      <x:c r="Q2" s="21" t="str">
        <x:v>HIRA risk register | Owner: Member 1 | Synthetic sample data | Snapshot: 2026-08-13</x:v>
      </x:c>
      <x:c r="R2" s="21" t="str">
        <x:v>HIRA risk register | Owner: Member 1 | Synthetic sample data | Snapshot: 2026-08-13</x:v>
      </x:c>
    </x:row>
    <x:row r="4" ht="30" customHeight="1">
      <x:c r="A4" s="26" t="str">
        <x:v>risk_id</x:v>
      </x:c>
      <x:c r="B4" s="26" t="str">
        <x:v>department_id</x:v>
      </x:c>
      <x:c r="C4" s="26" t="str">
        <x:v>zone_id</x:v>
      </x:c>
      <x:c r="D4" s="26" t="str">
        <x:v>hazard</x:v>
      </x:c>
      <x:c r="E4" s="26" t="str">
        <x:v>activity</x:v>
      </x:c>
      <x:c r="F4" s="26" t="str">
        <x:v>likelihood</x:v>
      </x:c>
      <x:c r="G4" s="26" t="str">
        <x:v>severity</x:v>
      </x:c>
      <x:c r="H4" s="26" t="str">
        <x:v>inherent_score</x:v>
      </x:c>
      <x:c r="I4" s="26" t="str">
        <x:v>risk_level</x:v>
      </x:c>
      <x:c r="J4" s="26" t="str">
        <x:v>controls</x:v>
      </x:c>
      <x:c r="K4" s="26" t="str">
        <x:v>residual_likelihood</x:v>
      </x:c>
      <x:c r="L4" s="26" t="str">
        <x:v>residual_severity</x:v>
      </x:c>
      <x:c r="M4" s="26" t="str">
        <x:v>residual_score</x:v>
      </x:c>
      <x:c r="N4" s="26" t="str">
        <x:v>owner_id</x:v>
      </x:c>
      <x:c r="O4" s="26" t="str">
        <x:v>status</x:v>
      </x:c>
      <x:c r="P4" s="26" t="str">
        <x:v>last_reviewed_at</x:v>
      </x:c>
      <x:c r="Q4" s="26" t="str">
        <x:v>next_review_date</x:v>
      </x:c>
      <x:c r="R4" s="26" t="str">
        <x:v>review_flag</x:v>
      </x:c>
    </x:row>
    <x:row r="5" ht="24" customHeight="1">
      <x:c r="A5" s="31" t="str">
        <x:v>HZ-001</x:v>
      </x:c>
      <x:c r="B5" s="31" t="str">
        <x:v>DEP-UTIL</x:v>
      </x:c>
      <x:c r="C5" s="31" t="str">
        <x:v>ZN-U01</x:v>
      </x:c>
      <x:c r="D5" s="33" t="str">
        <x:v>Electric shock - medium voltage</x:v>
      </x:c>
      <x:c r="E5" s="31" t="str">
        <x:v>MV panel maintenance</x:v>
      </x:c>
      <x:c r="F5" s="34" t="n">
        <x:v>3</x:v>
      </x:c>
      <x:c r="G5" s="34" t="n">
        <x:v>5</x:v>
      </x:c>
      <x:c r="H5" s="31" t="n">
        <x:f>F5*G5</x:f>
        <x:v>15</x:v>
      </x:c>
      <x:c r="I5" s="31" t="str">
        <x:f>IF(H5&gt;=20,"CRITICAL",IF(H5&gt;=15,"HIGH",IF(H5&gt;=10,"MEDIUM","LOW")))</x:f>
        <x:v>HIGH</x:v>
      </x:c>
      <x:c r="J5" s="33" t="str">
        <x:v>LOTO; voltage test; 1000V gloves; permit</x:v>
      </x:c>
      <x:c r="K5" s="34" t="n">
        <x:v>1</x:v>
      </x:c>
      <x:c r="L5" s="34" t="n">
        <x:v>5</x:v>
      </x:c>
      <x:c r="M5" s="31" t="n">
        <x:f>K5*L5</x:f>
        <x:v>5</x:v>
      </x:c>
      <x:c r="N5" s="31" t="str">
        <x:v>EMP-006</x:v>
      </x:c>
      <x:c r="O5" s="31" t="str">
        <x:v>ACTIVE</x:v>
      </x:c>
      <x:c r="P5" s="35" t="n">
        <x:v>46193</x:v>
      </x:c>
      <x:c r="Q5" s="35" t="n">
        <x:v>46223</x:v>
      </x:c>
      <x:c r="R5" s="31" t="str">
        <x:f>IF(O5&lt;&gt;"ACTIVE","NO_ACTION",IF(P5="","REVIEW_REQUIRED",IF(AND(H5&gt;=15,'Summary'!$B$3-P5&gt;=30),"REVIEW_OVERDUE","OK")))</x:f>
        <x:v>REVIEW_OVERDUE</x:v>
      </x:c>
    </x:row>
    <x:row r="6" ht="24" customHeight="1">
      <x:c r="A6" s="36" t="str">
        <x:v>HZ-002</x:v>
      </x:c>
      <x:c r="B6" s="36" t="str">
        <x:v>DEP-MAINT</x:v>
      </x:c>
      <x:c r="C6" s="36" t="str">
        <x:v>ZN-M01</x:v>
      </x:c>
      <x:c r="D6" s="38" t="str">
        <x:v>Fire from hot work</x:v>
      </x:c>
      <x:c r="E6" s="36" t="str">
        <x:v>Welding and cutting</x:v>
      </x:c>
      <x:c r="F6" s="39" t="n">
        <x:v>4</x:v>
      </x:c>
      <x:c r="G6" s="39" t="n">
        <x:v>4</x:v>
      </x:c>
      <x:c r="H6" s="36" t="n">
        <x:f>F6*G6</x:f>
        <x:v>16</x:v>
      </x:c>
      <x:c r="I6" s="36" t="str">
        <x:f>IF(H6&gt;=20,"CRITICAL",IF(H6&gt;=15,"HIGH",IF(H6&gt;=10,"MEDIUM","LOW")))</x:f>
        <x:v>HIGH</x:v>
      </x:c>
      <x:c r="J6" s="38" t="str">
        <x:v>Hot-work permit; fire watch; gas test</x:v>
      </x:c>
      <x:c r="K6" s="39" t="n">
        <x:v>2</x:v>
      </x:c>
      <x:c r="L6" s="39" t="n">
        <x:v>4</x:v>
      </x:c>
      <x:c r="M6" s="36" t="n">
        <x:f>K6*L6</x:f>
        <x:v>8</x:v>
      </x:c>
      <x:c r="N6" s="36" t="str">
        <x:v>EMP-003</x:v>
      </x:c>
      <x:c r="O6" s="36" t="str">
        <x:v>ACTIVE</x:v>
      </x:c>
      <x:c r="P6" s="40" t="n">
        <x:v>46204</x:v>
      </x:c>
      <x:c r="Q6" s="40" t="n">
        <x:v>46235</x:v>
      </x:c>
      <x:c r="R6" s="36" t="str">
        <x:f>IF(O6&lt;&gt;"ACTIVE","NO_ACTION",IF(P6="","REVIEW_REQUIRED",IF(AND(H6&gt;=15,'Summary'!$B$3-P6&gt;=30),"REVIEW_OVERDUE","OK")))</x:f>
        <x:v>REVIEW_OVERDUE</x:v>
      </x:c>
    </x:row>
    <x:row r="7" ht="24" customHeight="1">
      <x:c r="A7" s="36" t="str">
        <x:v>HZ-003</x:v>
      </x:c>
      <x:c r="B7" s="36" t="str">
        <x:v>DEP-PROD-A</x:v>
      </x:c>
      <x:c r="C7" s="36" t="str">
        <x:v>ZN-A1</x:v>
      </x:c>
      <x:c r="D7" s="38" t="str">
        <x:v>Entanglement in moving parts</x:v>
      </x:c>
      <x:c r="E7" s="36" t="str">
        <x:v>Cutting machine operation</x:v>
      </x:c>
      <x:c r="F7" s="39" t="n">
        <x:v>3</x:v>
      </x:c>
      <x:c r="G7" s="39" t="n">
        <x:v>5</x:v>
      </x:c>
      <x:c r="H7" s="36" t="n">
        <x:f>F7*G7</x:f>
        <x:v>15</x:v>
      </x:c>
      <x:c r="I7" s="36" t="str">
        <x:f>IF(H7&gt;=20,"CRITICAL",IF(H7&gt;=15,"HIGH",IF(H7&gt;=10,"MEDIUM","LOW")))</x:f>
        <x:v>HIGH</x:v>
      </x:c>
      <x:c r="J7" s="38" t="str">
        <x:v>Fixed guards; interlocks; emergency stops</x:v>
      </x:c>
      <x:c r="K7" s="39" t="n">
        <x:v>1</x:v>
      </x:c>
      <x:c r="L7" s="39" t="n">
        <x:v>5</x:v>
      </x:c>
      <x:c r="M7" s="36" t="n">
        <x:f>K7*L7</x:f>
        <x:v>5</x:v>
      </x:c>
      <x:c r="N7" s="36" t="str">
        <x:v>EMP-001</x:v>
      </x:c>
      <x:c r="O7" s="36" t="str">
        <x:v>ACTIVE</x:v>
      </x:c>
      <x:c r="P7" s="40" t="n">
        <x:v>46244</x:v>
      </x:c>
      <x:c r="Q7" s="40" t="n">
        <x:v>46275</x:v>
      </x:c>
      <x:c r="R7" s="36" t="str">
        <x:f>IF(O7&lt;&gt;"ACTIVE","NO_ACTION",IF(P7="","REVIEW_REQUIRED",IF(AND(H7&gt;=15,'Summary'!$B$3-P7&gt;=30),"REVIEW_OVERDUE","OK")))</x:f>
        <x:v>OK</x:v>
      </x:c>
    </x:row>
    <x:row r="8" ht="24" customHeight="1">
      <x:c r="A8" s="36" t="str">
        <x:v>HZ-004</x:v>
      </x:c>
      <x:c r="B8" s="36" t="str">
        <x:v>DEP-WH</x:v>
      </x:c>
      <x:c r="C8" s="36" t="str">
        <x:v>ZN-W02</x:v>
      </x:c>
      <x:c r="D8" s="38" t="str">
        <x:v>Forklift-pedestrian collision</x:v>
      </x:c>
      <x:c r="E8" s="36" t="str">
        <x:v>Material handling</x:v>
      </x:c>
      <x:c r="F8" s="39" t="n">
        <x:v>4</x:v>
      </x:c>
      <x:c r="G8" s="39" t="n">
        <x:v>4</x:v>
      </x:c>
      <x:c r="H8" s="36" t="n">
        <x:f>F8*G8</x:f>
        <x:v>16</x:v>
      </x:c>
      <x:c r="I8" s="36" t="str">
        <x:f>IF(H8&gt;=20,"CRITICAL",IF(H8&gt;=15,"HIGH",IF(H8&gt;=10,"MEDIUM","LOW")))</x:f>
        <x:v>HIGH</x:v>
      </x:c>
      <x:c r="J8" s="38" t="str">
        <x:v>Separated routes; speed limit; mirrors</x:v>
      </x:c>
      <x:c r="K8" s="39" t="n">
        <x:v>2</x:v>
      </x:c>
      <x:c r="L8" s="39" t="n">
        <x:v>4</x:v>
      </x:c>
      <x:c r="M8" s="36" t="n">
        <x:f>K8*L8</x:f>
        <x:v>8</x:v>
      </x:c>
      <x:c r="N8" s="36" t="str">
        <x:v>EMP-004</x:v>
      </x:c>
      <x:c r="O8" s="36" t="str">
        <x:v>ACTIVE</x:v>
      </x:c>
      <x:c r="P8" s="40" t="n">
        <x:v>46157</x:v>
      </x:c>
      <x:c r="Q8" s="40" t="n">
        <x:v>46188</x:v>
      </x:c>
      <x:c r="R8" s="36" t="str">
        <x:f>IF(O8&lt;&gt;"ACTIVE","NO_ACTION",IF(P8="","REVIEW_REQUIRED",IF(AND(H8&gt;=15,'Summary'!$B$3-P8&gt;=30),"REVIEW_OVERDUE","OK")))</x:f>
        <x:v>REVIEW_OVERDUE</x:v>
      </x:c>
    </x:row>
    <x:row r="9" ht="24" customHeight="1">
      <x:c r="A9" s="36" t="str">
        <x:v>HZ-005</x:v>
      </x:c>
      <x:c r="B9" s="36" t="str">
        <x:v>DEP-PROD-A</x:v>
      </x:c>
      <x:c r="C9" s="36" t="str">
        <x:v>ZN-A2</x:v>
      </x:c>
      <x:c r="D9" s="38" t="str">
        <x:v>Burn from hot injection mould</x:v>
      </x:c>
      <x:c r="E9" s="36" t="str">
        <x:v>Mould change</x:v>
      </x:c>
      <x:c r="F9" s="39" t="n">
        <x:v>3</x:v>
      </x:c>
      <x:c r="G9" s="39" t="n">
        <x:v>4</x:v>
      </x:c>
      <x:c r="H9" s="36" t="n">
        <x:f>F9*G9</x:f>
        <x:v>12</x:v>
      </x:c>
      <x:c r="I9" s="36" t="str">
        <x:f>IF(H9&gt;=20,"CRITICAL",IF(H9&gt;=15,"HIGH",IF(H9&gt;=10,"MEDIUM","LOW")))</x:f>
        <x:v>MEDIUM</x:v>
      </x:c>
      <x:c r="J9" s="38" t="str">
        <x:v>Cooling procedure; thermal gloves</x:v>
      </x:c>
      <x:c r="K9" s="39" t="n">
        <x:v>1</x:v>
      </x:c>
      <x:c r="L9" s="39" t="n">
        <x:v>4</x:v>
      </x:c>
      <x:c r="M9" s="36" t="n">
        <x:f>K9*L9</x:f>
        <x:v>4</x:v>
      </x:c>
      <x:c r="N9" s="36" t="str">
        <x:v>EMP-001</x:v>
      </x:c>
      <x:c r="O9" s="36" t="str">
        <x:v>ACTIVE</x:v>
      </x:c>
      <x:c r="P9" s="40" t="n">
        <x:v>46233</x:v>
      </x:c>
      <x:c r="Q9" s="40" t="n">
        <x:v>46295</x:v>
      </x:c>
      <x:c r="R9" s="36" t="str">
        <x:f>IF(O9&lt;&gt;"ACTIVE","NO_ACTION",IF(P9="","REVIEW_REQUIRED",IF(AND(H9&gt;=15,'Summary'!$B$3-P9&gt;=30),"REVIEW_OVERDUE","OK")))</x:f>
        <x:v>OK</x:v>
      </x:c>
    </x:row>
    <x:row r="10" ht="24" customHeight="1">
      <x:c r="A10" s="36" t="str">
        <x:v>HZ-006</x:v>
      </x:c>
      <x:c r="B10" s="36" t="str">
        <x:v>DEP-WH</x:v>
      </x:c>
      <x:c r="C10" s="36" t="str">
        <x:v>ZN-W01</x:v>
      </x:c>
      <x:c r="D10" s="38" t="str">
        <x:v>Falling loads from racking</x:v>
      </x:c>
      <x:c r="E10" s="36" t="str">
        <x:v>High-bay storage</x:v>
      </x:c>
      <x:c r="F10" s="39" t="n">
        <x:v>3</x:v>
      </x:c>
      <x:c r="G10" s="39" t="n">
        <x:v>4</x:v>
      </x:c>
      <x:c r="H10" s="36" t="n">
        <x:f>F10*G10</x:f>
        <x:v>12</x:v>
      </x:c>
      <x:c r="I10" s="36" t="str">
        <x:f>IF(H10&gt;=20,"CRITICAL",IF(H10&gt;=15,"HIGH",IF(H10&gt;=10,"MEDIUM","LOW")))</x:f>
        <x:v>MEDIUM</x:v>
      </x:c>
      <x:c r="J10" s="38" t="str">
        <x:v>Rack inspection; load limits; exclusion zone</x:v>
      </x:c>
      <x:c r="K10" s="39" t="n">
        <x:v>2</x:v>
      </x:c>
      <x:c r="L10" s="39" t="n">
        <x:v>3</x:v>
      </x:c>
      <x:c r="M10" s="36" t="n">
        <x:f>K10*L10</x:f>
        <x:v>6</x:v>
      </x:c>
      <x:c r="N10" s="36" t="str">
        <x:v>EMP-004</x:v>
      </x:c>
      <x:c r="O10" s="36" t="str">
        <x:v>ACTIVE</x:v>
      </x:c>
      <x:c r="P10" s="40" t="n">
        <x:v>46174</x:v>
      </x:c>
      <x:c r="Q10" s="40" t="n">
        <x:v>46204</x:v>
      </x:c>
      <x:c r="R10" s="36" t="str">
        <x:f>IF(O10&lt;&gt;"ACTIVE","NO_ACTION",IF(P10="","REVIEW_REQUIRED",IF(AND(H10&gt;=15,'Summary'!$B$3-P10&gt;=30),"REVIEW_OVERDUE","OK")))</x:f>
        <x:v>OK</x:v>
      </x:c>
    </x:row>
    <x:row r="11" ht="24" customHeight="1">
      <x:c r="A11" s="36" t="str">
        <x:v>HZ-007</x:v>
      </x:c>
      <x:c r="B11" s="36" t="str">
        <x:v>DEP-PROD-B</x:v>
      </x:c>
      <x:c r="C11" s="36" t="str">
        <x:v>ZN-B1</x:v>
      </x:c>
      <x:c r="D11" s="38" t="str">
        <x:v>Noise above 85 dB</x:v>
      </x:c>
      <x:c r="E11" s="36" t="str">
        <x:v>Continuous operation</x:v>
      </x:c>
      <x:c r="F11" s="39" t="n">
        <x:v>5</x:v>
      </x:c>
      <x:c r="G11" s="39" t="n">
        <x:v>3</x:v>
      </x:c>
      <x:c r="H11" s="36" t="n">
        <x:f>F11*G11</x:f>
        <x:v>15</x:v>
      </x:c>
      <x:c r="I11" s="36" t="str">
        <x:f>IF(H11&gt;=20,"CRITICAL",IF(H11&gt;=15,"HIGH",IF(H11&gt;=10,"MEDIUM","LOW")))</x:f>
        <x:v>HIGH</x:v>
      </x:c>
      <x:c r="J11" s="38" t="str">
        <x:v>Engineering dampening; hearing PPE; monitoring</x:v>
      </x:c>
      <x:c r="K11" s="39" t="n">
        <x:v>2</x:v>
      </x:c>
      <x:c r="L11" s="39" t="n">
        <x:v>3</x:v>
      </x:c>
      <x:c r="M11" s="36" t="n">
        <x:f>K11*L11</x:f>
        <x:v>6</x:v>
      </x:c>
      <x:c r="N11" s="36" t="str">
        <x:v>EMP-002</x:v>
      </x:c>
      <x:c r="O11" s="36" t="str">
        <x:v>ACTIVE</x:v>
      </x:c>
      <x:c r="P11" s="40" t="n">
        <x:v>46235</x:v>
      </x:c>
      <x:c r="Q11" s="40" t="n">
        <x:v>46266</x:v>
      </x:c>
      <x:c r="R11" s="36" t="str">
        <x:f>IF(O11&lt;&gt;"ACTIVE","NO_ACTION",IF(P11="","REVIEW_REQUIRED",IF(AND(H11&gt;=15,'Summary'!$B$3-P11&gt;=30),"REVIEW_OVERDUE","OK")))</x:f>
        <x:v>OK</x:v>
      </x:c>
    </x:row>
    <x:row r="12" ht="24" customHeight="1">
      <x:c r="A12" s="36" t="str">
        <x:v>HZ-008</x:v>
      </x:c>
      <x:c r="B12" s="36" t="str">
        <x:v>DEP-MAINT</x:v>
      </x:c>
      <x:c r="C12" s="36" t="str">
        <x:v>ZN-M01</x:v>
      </x:c>
      <x:c r="D12" s="38" t="str">
        <x:v>Solvent vapour exposure</x:v>
      </x:c>
      <x:c r="E12" s="36" t="str">
        <x:v>Parts cleaning</x:v>
      </x:c>
      <x:c r="F12" s="39" t="n">
        <x:v>3</x:v>
      </x:c>
      <x:c r="G12" s="39" t="n">
        <x:v>3</x:v>
      </x:c>
      <x:c r="H12" s="36" t="n">
        <x:f>F12*G12</x:f>
        <x:v>9</x:v>
      </x:c>
      <x:c r="I12" s="36" t="str">
        <x:f>IF(H12&gt;=20,"CRITICAL",IF(H12&gt;=15,"HIGH",IF(H12&gt;=10,"MEDIUM","LOW")))</x:f>
        <x:v>LOW</x:v>
      </x:c>
      <x:c r="J12" s="38" t="str">
        <x:v>Local exhaust; respirator; SDS</x:v>
      </x:c>
      <x:c r="K12" s="39" t="n">
        <x:v>1</x:v>
      </x:c>
      <x:c r="L12" s="39" t="n">
        <x:v>3</x:v>
      </x:c>
      <x:c r="M12" s="36" t="n">
        <x:f>K12*L12</x:f>
        <x:v>3</x:v>
      </x:c>
      <x:c r="N12" s="36" t="str">
        <x:v>EMP-003</x:v>
      </x:c>
      <x:c r="O12" s="36" t="str">
        <x:v>ACTIVE</x:v>
      </x:c>
      <x:c r="P12" s="40" t="n">
        <x:v>46239</x:v>
      </x:c>
      <x:c r="Q12" s="40" t="n">
        <x:v>46331</x:v>
      </x:c>
      <x:c r="R12" s="36" t="str">
        <x:f>IF(O12&lt;&gt;"ACTIVE","NO_ACTION",IF(P12="","REVIEW_REQUIRED",IF(AND(H12&gt;=15,'Summary'!$B$3-P12&gt;=30),"REVIEW_OVERDUE","OK")))</x:f>
        <x:v>OK</x:v>
      </x:c>
    </x:row>
    <x:row r="13" ht="24" customHeight="1">
      <x:c r="A13" s="36" t="str">
        <x:v>HZ-009</x:v>
      </x:c>
      <x:c r="B13" s="36" t="str">
        <x:v>DEP-ADMIN</x:v>
      </x:c>
      <x:c r="C13" s="36" t="str">
        <x:v>ZN-ADM</x:v>
      </x:c>
      <x:c r="D13" s="38" t="str">
        <x:v>Slip and trip</x:v>
      </x:c>
      <x:c r="E13" s="36" t="str">
        <x:v>Daily movement</x:v>
      </x:c>
      <x:c r="F13" s="39" t="n">
        <x:v>4</x:v>
      </x:c>
      <x:c r="G13" s="39" t="n">
        <x:v>2</x:v>
      </x:c>
      <x:c r="H13" s="36" t="n">
        <x:f>F13*G13</x:f>
        <x:v>8</x:v>
      </x:c>
      <x:c r="I13" s="36" t="str">
        <x:f>IF(H13&gt;=20,"CRITICAL",IF(H13&gt;=15,"HIGH",IF(H13&gt;=10,"MEDIUM","LOW")))</x:f>
        <x:v>LOW</x:v>
      </x:c>
      <x:c r="J13" s="38" t="str">
        <x:v>5S; lighting; immediate cleanup</x:v>
      </x:c>
      <x:c r="K13" s="39" t="n">
        <x:v>2</x:v>
      </x:c>
      <x:c r="L13" s="39" t="n">
        <x:v>2</x:v>
      </x:c>
      <x:c r="M13" s="36" t="n">
        <x:f>K13*L13</x:f>
        <x:v>4</x:v>
      </x:c>
      <x:c r="N13" s="36" t="str">
        <x:v>EMP-007</x:v>
      </x:c>
      <x:c r="O13" s="36" t="str">
        <x:v>ACTIVE</x:v>
      </x:c>
      <x:c r="P13" s="40" t="n">
        <x:v>46223</x:v>
      </x:c>
      <x:c r="Q13" s="40" t="n">
        <x:v>46315</x:v>
      </x:c>
      <x:c r="R13" s="36" t="str">
        <x:f>IF(O13&lt;&gt;"ACTIVE","NO_ACTION",IF(P13="","REVIEW_REQUIRED",IF(AND(H13&gt;=15,'Summary'!$B$3-P13&gt;=30),"REVIEW_OVERDUE","OK")))</x:f>
        <x:v>OK</x:v>
      </x:c>
    </x:row>
    <x:row r="14" ht="24" customHeight="1">
      <x:c r="A14" s="36" t="str">
        <x:v>HZ-010</x:v>
      </x:c>
      <x:c r="B14" s="36" t="str">
        <x:v>DEP-ADMIN</x:v>
      </x:c>
      <x:c r="C14" s="36" t="str">
        <x:v>ZN-ADM</x:v>
      </x:c>
      <x:c r="D14" s="38" t="str">
        <x:v>Musculoskeletal strain</x:v>
      </x:c>
      <x:c r="E14" s="36" t="str">
        <x:v>Office work</x:v>
      </x:c>
      <x:c r="F14" s="39" t="n">
        <x:v>4</x:v>
      </x:c>
      <x:c r="G14" s="39" t="n">
        <x:v>2</x:v>
      </x:c>
      <x:c r="H14" s="36" t="n">
        <x:f>F14*G14</x:f>
        <x:v>8</x:v>
      </x:c>
      <x:c r="I14" s="36" t="str">
        <x:f>IF(H14&gt;=20,"CRITICAL",IF(H14&gt;=15,"HIGH",IF(H14&gt;=10,"MEDIUM","LOW")))</x:f>
        <x:v>LOW</x:v>
      </x:c>
      <x:c r="J14" s="38" t="str">
        <x:v>Ergonomic chairs; breaks; workstation assessment</x:v>
      </x:c>
      <x:c r="K14" s="39" t="n">
        <x:v>2</x:v>
      </x:c>
      <x:c r="L14" s="39" t="n">
        <x:v>2</x:v>
      </x:c>
      <x:c r="M14" s="36" t="n">
        <x:f>K14*L14</x:f>
        <x:v>4</x:v>
      </x:c>
      <x:c r="N14" s="36" t="str">
        <x:v>EMP-007</x:v>
      </x:c>
      <x:c r="O14" s="36" t="str">
        <x:v>ACTIVE</x:v>
      </x:c>
      <x:c r="P14" s="40" t="n">
        <x:v>46246</x:v>
      </x:c>
      <x:c r="Q14" s="40" t="n">
        <x:v>46430</x:v>
      </x:c>
      <x:c r="R14" s="36" t="str">
        <x:f>IF(O14&lt;&gt;"ACTIVE","NO_ACTION",IF(P14="","REVIEW_REQUIRED",IF(AND(H14&gt;=15,'Summary'!$B$3-P14&gt;=30),"REVIEW_OVERDUE","OK")))</x:f>
        <x:v>OK</x:v>
      </x:c>
    </x:row>
    <x:row r="15" ht="24" customHeight="1">
      <x:c r="A15" s="36" t="str">
        <x:v>HZ-011</x:v>
      </x:c>
      <x:c r="B15" s="36" t="str">
        <x:v>DEP-UTIL</x:v>
      </x:c>
      <x:c r="C15" s="36" t="str">
        <x:v>ZN-U02</x:v>
      </x:c>
      <x:c r="D15" s="38" t="str">
        <x:v>Oxygen-deficient atmosphere</x:v>
      </x:c>
      <x:c r="E15" s="36" t="str">
        <x:v>Confined-space entry</x:v>
      </x:c>
      <x:c r="F15" s="39" t="n">
        <x:v>4</x:v>
      </x:c>
      <x:c r="G15" s="39" t="n">
        <x:v>5</x:v>
      </x:c>
      <x:c r="H15" s="36" t="n">
        <x:f>F15*G15</x:f>
        <x:v>20</x:v>
      </x:c>
      <x:c r="I15" s="36" t="str">
        <x:f>IF(H15&gt;=20,"CRITICAL",IF(H15&gt;=15,"HIGH",IF(H15&gt;=10,"MEDIUM","LOW")))</x:f>
        <x:v>CRITICAL</x:v>
      </x:c>
      <x:c r="J15" s="38" t="str">
        <x:v>Permit; continuous gas monitoring; rescue team</x:v>
      </x:c>
      <x:c r="K15" s="39" t="n">
        <x:v>1</x:v>
      </x:c>
      <x:c r="L15" s="39" t="n">
        <x:v>5</x:v>
      </x:c>
      <x:c r="M15" s="36" t="n">
        <x:f>K15*L15</x:f>
        <x:v>5</x:v>
      </x:c>
      <x:c r="N15" s="36" t="str">
        <x:v>EMP-006</x:v>
      </x:c>
      <x:c r="O15" s="36" t="str">
        <x:v>ACTIVE</x:v>
      </x:c>
      <x:c r="P15" s="40"/>
      <x:c r="Q15" s="40" t="n">
        <x:v>46235</x:v>
      </x:c>
      <x:c r="R15" s="36" t="str">
        <x:f>IF(O15&lt;&gt;"ACTIVE","NO_ACTION",IF(P15="","REVIEW_REQUIRED",IF(AND(H15&gt;=15,'Summary'!$B$3-P15&gt;=30),"REVIEW_OVERDUE","OK")))</x:f>
        <x:v>REVIEW_REQUIRED</x:v>
      </x:c>
    </x:row>
    <x:row r="16" ht="24" customHeight="1">
      <x:c r="A16" s="41" t="str">
        <x:v>HZ-012</x:v>
      </x:c>
      <x:c r="B16" s="41" t="str">
        <x:v>DEP-QC</x:v>
      </x:c>
      <x:c r="C16" s="41" t="str">
        <x:v>ZN-Q01</x:v>
      </x:c>
      <x:c r="D16" s="43" t="str">
        <x:v>Corrosive liquid splash</x:v>
      </x:c>
      <x:c r="E16" s="41" t="str">
        <x:v>Laboratory dilution</x:v>
      </x:c>
      <x:c r="F16" s="44" t="n">
        <x:v>2</x:v>
      </x:c>
      <x:c r="G16" s="44" t="n">
        <x:v>4</x:v>
      </x:c>
      <x:c r="H16" s="41" t="n">
        <x:f>F16*G16</x:f>
        <x:v>8</x:v>
      </x:c>
      <x:c r="I16" s="41" t="str">
        <x:f>IF(H16&gt;=20,"CRITICAL",IF(H16&gt;=15,"HIGH",IF(H16&gt;=10,"MEDIUM","LOW")))</x:f>
        <x:v>LOW</x:v>
      </x:c>
      <x:c r="J16" s="43" t="str">
        <x:v>Fume hood; face shield; chemical gloves</x:v>
      </x:c>
      <x:c r="K16" s="44" t="n">
        <x:v>1</x:v>
      </x:c>
      <x:c r="L16" s="44" t="n">
        <x:v>3</x:v>
      </x:c>
      <x:c r="M16" s="41" t="n">
        <x:f>K16*L16</x:f>
        <x:v>3</x:v>
      </x:c>
      <x:c r="N16" s="41" t="str">
        <x:v>EMP-005</x:v>
      </x:c>
      <x:c r="O16" s="41" t="str">
        <x:v>CLOSED</x:v>
      </x:c>
      <x:c r="P16" s="45" t="n">
        <x:v>46218</x:v>
      </x:c>
      <x:c r="Q16" s="45"/>
      <x:c r="R16" s="41" t="str">
        <x:f>IF(O16&lt;&gt;"ACTIVE","NO_ACTION",IF(P16="","REVIEW_REQUIRED",IF(AND(H16&gt;=15,'Summary'!$B$3-P16&gt;=30),"REVIEW_OVERDUE","OK")))</x:f>
        <x:v>NO_ACTION</x:v>
      </x:c>
    </x:row>
  </x:sheetData>
  <x:mergeCells>
    <x:mergeCell ref="A1:R1"/>
    <x:mergeCell ref="A2:R2"/>
  </x:mergeCells>
  <x:conditionalFormatting sqref="G5:G16">
    <x:cfRule type="containsText" dxfId="297" priority="1" operator="containsText" text="CRITICAL"/>
    <x:cfRule type="containsText" dxfId="298" priority="2" operator="containsText" text="EXPIRED"/>
    <x:cfRule type="containsText" dxfId="299" priority="3" operator="containsText" text="FAILED"/>
    <x:cfRule type="containsText" dxfId="300" priority="4" operator="containsText" text="OVERDUE"/>
    <x:cfRule type="containsText" dxfId="301" priority="5" operator="containsText" text="REJECTED"/>
    <x:cfRule type="containsText" dxfId="302" priority="6" operator="containsText" text="OUT_OF_SERVICE"/>
    <x:cfRule type="containsText" dxfId="303" priority="7" operator="containsText" text="BELOW_THRESHOLD"/>
    <x:cfRule type="containsText" dxfId="304" priority="8" operator="containsText" text="HIGH"/>
    <x:cfRule type="containsText" dxfId="305" priority="9" operator="containsText" text="WARNING"/>
    <x:cfRule type="containsText" dxfId="306" priority="10" operator="containsText" text="DUE_SOON"/>
    <x:cfRule type="containsText" dxfId="307" priority="11" operator="containsText" text="OPEN"/>
    <x:cfRule type="containsText" dxfId="308" priority="12" operator="containsText" text="PENDING"/>
    <x:cfRule type="containsText" dxfId="309" priority="13" operator="containsText" text="SUSPENDED"/>
    <x:cfRule type="containsText" dxfId="310" priority="14" operator="containsText" text="TESTING"/>
    <x:cfRule type="containsText" dxfId="311" priority="15" operator="containsText" text="PARTIAL_FAILURE"/>
    <x:cfRule type="containsText" dxfId="312" priority="16" operator="containsText" text="LOW_STOCK"/>
    <x:cfRule type="containsText" dxfId="313" priority="17" operator="containsText" text="ACTIVE"/>
    <x:cfRule type="containsText" dxfId="314" priority="18" operator="containsText" text="VALID"/>
    <x:cfRule type="containsText" dxfId="315" priority="19" operator="containsText" text="SUCCESS"/>
    <x:cfRule type="containsText" dxfId="316" priority="20" operator="containsText" text="COMPLETED"/>
    <x:cfRule type="containsText" dxfId="317" priority="21" operator="containsText" text="CLOSED"/>
    <x:cfRule type="containsText" dxfId="318" priority="22" operator="containsText" text="CONNECTED"/>
    <x:cfRule type="containsText" dxfId="319" priority="23" operator="containsText" text="NORMAL"/>
    <x:cfRule type="containsText" dxfId="320" priority="24" operator="containsText" text="VERIFIED"/>
    <x:cfRule type="containsText" dxfId="321" priority="25" operator="containsText" text="RESOLVED"/>
    <x:cfRule type="containsText" dxfId="322" priority="26" operator="containsText" text="PASS"/>
    <x:cfRule type="containsText" dxfId="323" priority="27" operator="containsText" text="OK"/>
    <x:cfRule type="containsText" dxfId="324" priority="28" operator="containsText" text="INFO"/>
    <x:cfRule type="containsText" dxfId="325" priority="29" operator="containsText" text="DRAFT"/>
    <x:cfRule type="containsText" dxfId="326" priority="30" operator="containsText" text="SCHEDULED"/>
    <x:cfRule type="containsText" dxfId="327" priority="31" operator="containsText" text="IN_PROGRESS"/>
    <x:cfRule type="containsText" dxfId="328" priority="32" operator="containsText" text="MODEL_REVIEW"/>
    <x:cfRule type="containsText" dxfId="329" priority="33" operator="containsText" text="READ"/>
  </x:conditionalFormatting>
  <x:conditionalFormatting sqref="I5:I16">
    <x:cfRule type="containsText" dxfId="330" priority="34" operator="containsText" text="CRITICAL"/>
    <x:cfRule type="containsText" dxfId="331" priority="35" operator="containsText" text="EXPIRED"/>
    <x:cfRule type="containsText" dxfId="332" priority="36" operator="containsText" text="FAILED"/>
    <x:cfRule type="containsText" dxfId="333" priority="37" operator="containsText" text="OVERDUE"/>
    <x:cfRule type="containsText" dxfId="334" priority="38" operator="containsText" text="REJECTED"/>
    <x:cfRule type="containsText" dxfId="335" priority="39" operator="containsText" text="OUT_OF_SERVICE"/>
    <x:cfRule type="containsText" dxfId="336" priority="40" operator="containsText" text="BELOW_THRESHOLD"/>
    <x:cfRule type="containsText" dxfId="337" priority="41" operator="containsText" text="HIGH"/>
    <x:cfRule type="containsText" dxfId="338" priority="42" operator="containsText" text="WARNING"/>
    <x:cfRule type="containsText" dxfId="339" priority="43" operator="containsText" text="DUE_SOON"/>
    <x:cfRule type="containsText" dxfId="340" priority="44" operator="containsText" text="OPEN"/>
    <x:cfRule type="containsText" dxfId="341" priority="45" operator="containsText" text="PENDING"/>
    <x:cfRule type="containsText" dxfId="342" priority="46" operator="containsText" text="SUSPENDED"/>
    <x:cfRule type="containsText" dxfId="343" priority="47" operator="containsText" text="TESTING"/>
    <x:cfRule type="containsText" dxfId="344" priority="48" operator="containsText" text="PARTIAL_FAILURE"/>
    <x:cfRule type="containsText" dxfId="345" priority="49" operator="containsText" text="LOW_STOCK"/>
    <x:cfRule type="containsText" dxfId="346" priority="50" operator="containsText" text="ACTIVE"/>
    <x:cfRule type="containsText" dxfId="347" priority="51" operator="containsText" text="VALID"/>
    <x:cfRule type="containsText" dxfId="348" priority="52" operator="containsText" text="SUCCESS"/>
    <x:cfRule type="containsText" dxfId="349" priority="53" operator="containsText" text="COMPLETED"/>
    <x:cfRule type="containsText" dxfId="350" priority="54" operator="containsText" text="CLOSED"/>
    <x:cfRule type="containsText" dxfId="351" priority="55" operator="containsText" text="CONNECTED"/>
    <x:cfRule type="containsText" dxfId="352" priority="56" operator="containsText" text="NORMAL"/>
    <x:cfRule type="containsText" dxfId="353" priority="57" operator="containsText" text="VERIFIED"/>
    <x:cfRule type="containsText" dxfId="354" priority="58" operator="containsText" text="RESOLVED"/>
    <x:cfRule type="containsText" dxfId="355" priority="59" operator="containsText" text="PASS"/>
    <x:cfRule type="containsText" dxfId="356" priority="60" operator="containsText" text="OK"/>
    <x:cfRule type="containsText" dxfId="357" priority="61" operator="containsText" text="INFO"/>
    <x:cfRule type="containsText" dxfId="358" priority="62" operator="containsText" text="DRAFT"/>
    <x:cfRule type="containsText" dxfId="359" priority="63" operator="containsText" text="SCHEDULED"/>
    <x:cfRule type="containsText" dxfId="360" priority="64" operator="containsText" text="IN_PROGRESS"/>
    <x:cfRule type="containsText" dxfId="361" priority="65" operator="containsText" text="MODEL_REVIEW"/>
    <x:cfRule type="containsText" dxfId="362" priority="66" operator="containsText" text="READ"/>
  </x:conditionalFormatting>
  <x:conditionalFormatting sqref="L5:L16">
    <x:cfRule type="containsText" dxfId="363" priority="67" operator="containsText" text="CRITICAL"/>
    <x:cfRule type="containsText" dxfId="364" priority="68" operator="containsText" text="EXPIRED"/>
    <x:cfRule type="containsText" dxfId="365" priority="69" operator="containsText" text="FAILED"/>
    <x:cfRule type="containsText" dxfId="366" priority="70" operator="containsText" text="OVERDUE"/>
    <x:cfRule type="containsText" dxfId="367" priority="71" operator="containsText" text="REJECTED"/>
    <x:cfRule type="containsText" dxfId="368" priority="72" operator="containsText" text="OUT_OF_SERVICE"/>
    <x:cfRule type="containsText" dxfId="369" priority="73" operator="containsText" text="BELOW_THRESHOLD"/>
    <x:cfRule type="containsText" dxfId="370" priority="74" operator="containsText" text="HIGH"/>
    <x:cfRule type="containsText" dxfId="371" priority="75" operator="containsText" text="WARNING"/>
    <x:cfRule type="containsText" dxfId="372" priority="76" operator="containsText" text="DUE_SOON"/>
    <x:cfRule type="containsText" dxfId="373" priority="77" operator="containsText" text="OPEN"/>
    <x:cfRule type="containsText" dxfId="374" priority="78" operator="containsText" text="PENDING"/>
    <x:cfRule type="containsText" dxfId="375" priority="79" operator="containsText" text="SUSPENDED"/>
    <x:cfRule type="containsText" dxfId="376" priority="80" operator="containsText" text="TESTING"/>
    <x:cfRule type="containsText" dxfId="377" priority="81" operator="containsText" text="PARTIAL_FAILURE"/>
    <x:cfRule type="containsText" dxfId="378" priority="82" operator="containsText" text="LOW_STOCK"/>
    <x:cfRule type="containsText" dxfId="379" priority="83" operator="containsText" text="ACTIVE"/>
    <x:cfRule type="containsText" dxfId="380" priority="84" operator="containsText" text="VALID"/>
    <x:cfRule type="containsText" dxfId="381" priority="85" operator="containsText" text="SUCCESS"/>
    <x:cfRule type="containsText" dxfId="382" priority="86" operator="containsText" text="COMPLETED"/>
    <x:cfRule type="containsText" dxfId="383" priority="87" operator="containsText" text="CLOSED"/>
    <x:cfRule type="containsText" dxfId="384" priority="88" operator="containsText" text="CONNECTED"/>
    <x:cfRule type="containsText" dxfId="385" priority="89" operator="containsText" text="NORMAL"/>
    <x:cfRule type="containsText" dxfId="386" priority="90" operator="containsText" text="VERIFIED"/>
    <x:cfRule type="containsText" dxfId="387" priority="91" operator="containsText" text="RESOLVED"/>
    <x:cfRule type="containsText" dxfId="388" priority="92" operator="containsText" text="PASS"/>
    <x:cfRule type="containsText" dxfId="389" priority="93" operator="containsText" text="OK"/>
    <x:cfRule type="containsText" dxfId="390" priority="94" operator="containsText" text="INFO"/>
    <x:cfRule type="containsText" dxfId="391" priority="95" operator="containsText" text="DRAFT"/>
    <x:cfRule type="containsText" dxfId="392" priority="96" operator="containsText" text="SCHEDULED"/>
    <x:cfRule type="containsText" dxfId="393" priority="97" operator="containsText" text="IN_PROGRESS"/>
    <x:cfRule type="containsText" dxfId="394" priority="98" operator="containsText" text="MODEL_REVIEW"/>
    <x:cfRule type="containsText" dxfId="395" priority="99" operator="containsText" text="READ"/>
  </x:conditionalFormatting>
  <x:conditionalFormatting sqref="O5:O16">
    <x:cfRule type="containsText" dxfId="396" priority="100" operator="containsText" text="CRITICAL"/>
    <x:cfRule type="containsText" dxfId="397" priority="101" operator="containsText" text="EXPIRED"/>
    <x:cfRule type="containsText" dxfId="398" priority="102" operator="containsText" text="FAILED"/>
    <x:cfRule type="containsText" dxfId="399" priority="103" operator="containsText" text="OVERDUE"/>
    <x:cfRule type="containsText" dxfId="400" priority="104" operator="containsText" text="REJECTED"/>
    <x:cfRule type="containsText" dxfId="401" priority="105" operator="containsText" text="OUT_OF_SERVICE"/>
    <x:cfRule type="containsText" dxfId="402" priority="106" operator="containsText" text="BELOW_THRESHOLD"/>
    <x:cfRule type="containsText" dxfId="403" priority="107" operator="containsText" text="HIGH"/>
    <x:cfRule type="containsText" dxfId="404" priority="108" operator="containsText" text="WARNING"/>
    <x:cfRule type="containsText" dxfId="405" priority="109" operator="containsText" text="DUE_SOON"/>
    <x:cfRule type="containsText" dxfId="406" priority="110" operator="containsText" text="OPEN"/>
    <x:cfRule type="containsText" dxfId="407" priority="111" operator="containsText" text="PENDING"/>
    <x:cfRule type="containsText" dxfId="408" priority="112" operator="containsText" text="SUSPENDED"/>
    <x:cfRule type="containsText" dxfId="409" priority="113" operator="containsText" text="TESTING"/>
    <x:cfRule type="containsText" dxfId="410" priority="114" operator="containsText" text="PARTIAL_FAILURE"/>
    <x:cfRule type="containsText" dxfId="411" priority="115" operator="containsText" text="LOW_STOCK"/>
    <x:cfRule type="containsText" dxfId="412" priority="116" operator="containsText" text="ACTIVE"/>
    <x:cfRule type="containsText" dxfId="413" priority="117" operator="containsText" text="VALID"/>
    <x:cfRule type="containsText" dxfId="414" priority="118" operator="containsText" text="SUCCESS"/>
    <x:cfRule type="containsText" dxfId="415" priority="119" operator="containsText" text="COMPLETED"/>
    <x:cfRule type="containsText" dxfId="416" priority="120" operator="containsText" text="CLOSED"/>
    <x:cfRule type="containsText" dxfId="417" priority="121" operator="containsText" text="CONNECTED"/>
    <x:cfRule type="containsText" dxfId="418" priority="122" operator="containsText" text="NORMAL"/>
    <x:cfRule type="containsText" dxfId="419" priority="123" operator="containsText" text="VERIFIED"/>
    <x:cfRule type="containsText" dxfId="420" priority="124" operator="containsText" text="RESOLVED"/>
    <x:cfRule type="containsText" dxfId="421" priority="125" operator="containsText" text="PASS"/>
    <x:cfRule type="containsText" dxfId="422" priority="126" operator="containsText" text="OK"/>
    <x:cfRule type="containsText" dxfId="423" priority="127" operator="containsText" text="INFO"/>
    <x:cfRule type="containsText" dxfId="424" priority="128" operator="containsText" text="DRAFT"/>
    <x:cfRule type="containsText" dxfId="425" priority="129" operator="containsText" text="SCHEDULED"/>
    <x:cfRule type="containsText" dxfId="426" priority="130" operator="containsText" text="IN_PROGRESS"/>
    <x:cfRule type="containsText" dxfId="427" priority="131" operator="containsText" text="MODEL_REVIEW"/>
    <x:cfRule type="containsText" dxfId="428" priority="132" operator="containsText" text="READ"/>
  </x:conditionalFormatting>
  <x:conditionalFormatting sqref="R5:R16">
    <x:cfRule type="containsText" dxfId="429" priority="133" operator="containsText" text="CRITICAL"/>
    <x:cfRule type="containsText" dxfId="430" priority="134" operator="containsText" text="EXPIRED"/>
    <x:cfRule type="containsText" dxfId="431" priority="135" operator="containsText" text="FAILED"/>
    <x:cfRule type="containsText" dxfId="432" priority="136" operator="containsText" text="OVERDUE"/>
    <x:cfRule type="containsText" dxfId="433" priority="137" operator="containsText" text="REJECTED"/>
    <x:cfRule type="containsText" dxfId="434" priority="138" operator="containsText" text="OUT_OF_SERVICE"/>
    <x:cfRule type="containsText" dxfId="435" priority="139" operator="containsText" text="BELOW_THRESHOLD"/>
    <x:cfRule type="containsText" dxfId="436" priority="140" operator="containsText" text="HIGH"/>
    <x:cfRule type="containsText" dxfId="437" priority="141" operator="containsText" text="WARNING"/>
    <x:cfRule type="containsText" dxfId="438" priority="142" operator="containsText" text="DUE_SOON"/>
    <x:cfRule type="containsText" dxfId="439" priority="143" operator="containsText" text="OPEN"/>
    <x:cfRule type="containsText" dxfId="440" priority="144" operator="containsText" text="PENDING"/>
    <x:cfRule type="containsText" dxfId="441" priority="145" operator="containsText" text="SUSPENDED"/>
    <x:cfRule type="containsText" dxfId="442" priority="146" operator="containsText" text="TESTING"/>
    <x:cfRule type="containsText" dxfId="443" priority="147" operator="containsText" text="PARTIAL_FAILURE"/>
    <x:cfRule type="containsText" dxfId="444" priority="148" operator="containsText" text="LOW_STOCK"/>
    <x:cfRule type="containsText" dxfId="445" priority="149" operator="containsText" text="ACTIVE"/>
    <x:cfRule type="containsText" dxfId="446" priority="150" operator="containsText" text="VALID"/>
    <x:cfRule type="containsText" dxfId="447" priority="151" operator="containsText" text="SUCCESS"/>
    <x:cfRule type="containsText" dxfId="448" priority="152" operator="containsText" text="COMPLETED"/>
    <x:cfRule type="containsText" dxfId="449" priority="153" operator="containsText" text="CLOSED"/>
    <x:cfRule type="containsText" dxfId="450" priority="154" operator="containsText" text="CONNECTED"/>
    <x:cfRule type="containsText" dxfId="451" priority="155" operator="containsText" text="NORMAL"/>
    <x:cfRule type="containsText" dxfId="452" priority="156" operator="containsText" text="VERIFIED"/>
    <x:cfRule type="containsText" dxfId="453" priority="157" operator="containsText" text="RESOLVED"/>
    <x:cfRule type="containsText" dxfId="454" priority="158" operator="containsText" text="PASS"/>
    <x:cfRule type="containsText" dxfId="455" priority="159" operator="containsText" text="OK"/>
    <x:cfRule type="containsText" dxfId="456" priority="160" operator="containsText" text="INFO"/>
    <x:cfRule type="containsText" dxfId="457" priority="161" operator="containsText" text="DRAFT"/>
    <x:cfRule type="containsText" dxfId="458" priority="162" operator="containsText" text="SCHEDULED"/>
    <x:cfRule type="containsText" dxfId="459" priority="163" operator="containsText" text="IN_PROGRESS"/>
    <x:cfRule type="containsText" dxfId="460" priority="164" operator="containsText" text="MODEL_REVIEW"/>
    <x:cfRule type="containsText" dxfId="461" priority="165" operator="containsText" text="READ"/>
  </x:conditionalFormatting>
  <x:dataValidations count="1">
    <x:dataValidation type="list" sqref="O5:O16">
      <x:formula1>"ACTIVE,UNDER_REVIEW,CLOSED"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d2619907247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3" hidden="0" customWidth="1"/>
    <x:col min="9" max="9" width="18" hidden="0" customWidth="1"/>
    <x:col min="10" max="10" width="13" hidden="0" customWidth="1"/>
    <x:col min="11" max="11" width="13" hidden="0" customWidth="1"/>
    <x:col min="12" max="12" width="18" hidden="0" customWidth="1"/>
    <x:col min="13" max="13" width="18" hidden="0" customWidth="1"/>
    <x:col min="14" max="14" width="20" hidden="0" customWidth="1"/>
  </x:cols>
  <x:sheetData>
    <x:row r="1" ht="32" customHeight="1">
      <x:c r="A1" s="17" t="str">
        <x:v>ESCA HSE | JSA</x:v>
      </x:c>
      <x:c r="B1" s="17" t="str">
        <x:v>ESCA HSE | JSA</x:v>
      </x:c>
      <x:c r="C1" s="17" t="str">
        <x:v>ESCA HSE | JSA</x:v>
      </x:c>
      <x:c r="D1" s="17" t="str">
        <x:v>ESCA HSE | JSA</x:v>
      </x:c>
      <x:c r="E1" s="17" t="str">
        <x:v>ESCA HSE | JSA</x:v>
      </x:c>
      <x:c r="F1" s="17" t="str">
        <x:v>ESCA HSE | JSA</x:v>
      </x:c>
      <x:c r="G1" s="17" t="str">
        <x:v>ESCA HSE | JSA</x:v>
      </x:c>
      <x:c r="H1" s="17" t="str">
        <x:v>ESCA HSE | JSA</x:v>
      </x:c>
      <x:c r="I1" s="17" t="str">
        <x:v>ESCA HSE | JSA</x:v>
      </x:c>
      <x:c r="J1" s="17" t="str">
        <x:v>ESCA HSE | JSA</x:v>
      </x:c>
      <x:c r="K1" s="17" t="str">
        <x:v>ESCA HSE | JSA</x:v>
      </x:c>
      <x:c r="L1" s="17" t="str">
        <x:v>ESCA HSE | JSA</x:v>
      </x:c>
      <x:c r="M1" s="17" t="str">
        <x:v>ESCA HSE | JSA</x:v>
      </x:c>
      <x:c r="N1" s="17" t="str">
        <x:v>ESCA HSE | JSA</x:v>
      </x:c>
    </x:row>
    <x:row r="2" ht="28" customHeight="1">
      <x:c r="A2" s="21" t="str">
        <x:v>Job Safety Analysis headers | Owner: Member 1 | Synthetic sample data | Snapshot: 2026-08-13</x:v>
      </x:c>
      <x:c r="B2" s="21" t="str">
        <x:v>Job Safety Analysis headers | Owner: Member 1 | Synthetic sample data | Snapshot: 2026-08-13</x:v>
      </x:c>
      <x:c r="C2" s="21" t="str">
        <x:v>Job Safety Analysis headers | Owner: Member 1 | Synthetic sample data | Snapshot: 2026-08-13</x:v>
      </x:c>
      <x:c r="D2" s="21" t="str">
        <x:v>Job Safety Analysis headers | Owner: Member 1 | Synthetic sample data | Snapshot: 2026-08-13</x:v>
      </x:c>
      <x:c r="E2" s="21" t="str">
        <x:v>Job Safety Analysis headers | Owner: Member 1 | Synthetic sample data | Snapshot: 2026-08-13</x:v>
      </x:c>
      <x:c r="F2" s="21" t="str">
        <x:v>Job Safety Analysis headers | Owner: Member 1 | Synthetic sample data | Snapshot: 2026-08-13</x:v>
      </x:c>
      <x:c r="G2" s="21" t="str">
        <x:v>Job Safety Analysis headers | Owner: Member 1 | Synthetic sample data | Snapshot: 2026-08-13</x:v>
      </x:c>
      <x:c r="H2" s="21" t="str">
        <x:v>Job Safety Analysis headers | Owner: Member 1 | Synthetic sample data | Snapshot: 2026-08-13</x:v>
      </x:c>
      <x:c r="I2" s="21" t="str">
        <x:v>Job Safety Analysis headers | Owner: Member 1 | Synthetic sample data | Snapshot: 2026-08-13</x:v>
      </x:c>
      <x:c r="J2" s="21" t="str">
        <x:v>Job Safety Analysis headers | Owner: Member 1 | Synthetic sample data | Snapshot: 2026-08-13</x:v>
      </x:c>
      <x:c r="K2" s="21" t="str">
        <x:v>Job Safety Analysis headers | Owner: Member 1 | Synthetic sample data | Snapshot: 2026-08-13</x:v>
      </x:c>
      <x:c r="L2" s="21" t="str">
        <x:v>Job Safety Analysis headers | Owner: Member 1 | Synthetic sample data | Snapshot: 2026-08-13</x:v>
      </x:c>
      <x:c r="M2" s="21" t="str">
        <x:v>Job Safety Analysis headers | Owner: Member 1 | Synthetic sample data | Snapshot: 2026-08-13</x:v>
      </x:c>
      <x:c r="N2" s="21" t="str">
        <x:v>Job Safety Analysis headers | Owner: Member 1 | Synthetic sample data | Snapshot: 2026-08-13</x:v>
      </x:c>
    </x:row>
    <x:row r="4" ht="30" customHeight="1">
      <x:c r="A4" s="26" t="str">
        <x:v>jsa_id</x:v>
      </x:c>
      <x:c r="B4" s="26" t="str">
        <x:v>task_name</x:v>
      </x:c>
      <x:c r="C4" s="26" t="str">
        <x:v>department_id</x:v>
      </x:c>
      <x:c r="D4" s="26" t="str">
        <x:v>zone_id</x:v>
      </x:c>
      <x:c r="E4" s="26" t="str">
        <x:v>created_by</x:v>
      </x:c>
      <x:c r="F4" s="26" t="str">
        <x:v>created_at</x:v>
      </x:c>
      <x:c r="G4" s="26" t="str">
        <x:v>frequency</x:v>
      </x:c>
      <x:c r="H4" s="26" t="str">
        <x:v>permit_required</x:v>
      </x:c>
      <x:c r="I4" s="26" t="str">
        <x:v>permit_type</x:v>
      </x:c>
      <x:c r="J4" s="26" t="str">
        <x:v>inherent_score</x:v>
      </x:c>
      <x:c r="K4" s="26" t="str">
        <x:v>residual_score</x:v>
      </x:c>
      <x:c r="L4" s="26" t="str">
        <x:v>status</x:v>
      </x:c>
      <x:c r="M4" s="26" t="str">
        <x:v>approved_by</x:v>
      </x:c>
      <x:c r="N4" s="26" t="str">
        <x:v>approved_at</x:v>
      </x:c>
    </x:row>
    <x:row r="5" ht="24" customHeight="1">
      <x:c r="A5" s="31" t="str">
        <x:v>JSA-018</x:v>
      </x:c>
      <x:c r="B5" s="31" t="str">
        <x:v>Replace MV circuit breaker</x:v>
      </x:c>
      <x:c r="C5" s="31" t="str">
        <x:v>DEP-UTIL</x:v>
      </x:c>
      <x:c r="D5" s="31" t="str">
        <x:v>ZN-U01</x:v>
      </x:c>
      <x:c r="E5" s="31" t="str">
        <x:v>EMP-026</x:v>
      </x:c>
      <x:c r="F5" s="32" t="n">
        <x:v>46239.5</x:v>
      </x:c>
      <x:c r="G5" s="31" t="str">
        <x:v>AS_NEEDED</x:v>
      </x:c>
      <x:c r="H5" s="53" t="b">
        <x:v>1</x:v>
      </x:c>
      <x:c r="I5" s="31" t="str">
        <x:v>ELECTRICAL</x:v>
      </x:c>
      <x:c r="J5" s="34" t="n">
        <x:v>20</x:v>
      </x:c>
      <x:c r="K5" s="34" t="n">
        <x:v>5</x:v>
      </x:c>
      <x:c r="L5" s="31" t="str">
        <x:v>APPROVED</x:v>
      </x:c>
      <x:c r="M5" s="31" t="str">
        <x:v>EMP-010</x:v>
      </x:c>
      <x:c r="N5" s="32" t="n">
        <x:v>46240.145833333336</x:v>
      </x:c>
    </x:row>
    <x:row r="6" ht="24" customHeight="1">
      <x:c r="A6" s="36" t="str">
        <x:v>JSA-019</x:v>
      </x:c>
      <x:c r="B6" s="36" t="str">
        <x:v>Weld support frame</x:v>
      </x:c>
      <x:c r="C6" s="36" t="str">
        <x:v>DEP-MAINT</x:v>
      </x:c>
      <x:c r="D6" s="36" t="str">
        <x:v>ZN-M01</x:v>
      </x:c>
      <x:c r="E6" s="36" t="str">
        <x:v>EMP-021</x:v>
      </x:c>
      <x:c r="F6" s="37" t="n">
        <x:v>46246.458333333336</x:v>
      </x:c>
      <x:c r="G6" s="36" t="str">
        <x:v>WEEKLY</x:v>
      </x:c>
      <x:c r="H6" s="54" t="b">
        <x:v>1</x:v>
      </x:c>
      <x:c r="I6" s="36" t="str">
        <x:v>HOT_WORK</x:v>
      </x:c>
      <x:c r="J6" s="39" t="n">
        <x:v>16</x:v>
      </x:c>
      <x:c r="K6" s="39" t="n">
        <x:v>8</x:v>
      </x:c>
      <x:c r="L6" s="36" t="str">
        <x:v>APPROVED</x:v>
      </x:c>
      <x:c r="M6" s="36" t="str">
        <x:v>EMP-011</x:v>
      </x:c>
      <x:c r="N6" s="37" t="n">
        <x:v>46247.15625</x:v>
      </x:c>
    </x:row>
    <x:row r="7" ht="24" customHeight="1">
      <x:c r="A7" s="36" t="str">
        <x:v>JSA-020</x:v>
      </x:c>
      <x:c r="B7" s="36" t="str">
        <x:v>Service extraction unit</x:v>
      </x:c>
      <x:c r="C7" s="36" t="str">
        <x:v>DEP-PROD-B</x:v>
      </x:c>
      <x:c r="D7" s="36" t="str">
        <x:v>ZN-B2</x:v>
      </x:c>
      <x:c r="E7" s="36" t="str">
        <x:v>EMP-022</x:v>
      </x:c>
      <x:c r="F7" s="37" t="n">
        <x:v>46246.354166666664</x:v>
      </x:c>
      <x:c r="G7" s="36" t="str">
        <x:v>MONTHLY</x:v>
      </x:c>
      <x:c r="H7" s="54" t="b">
        <x:v>1</x:v>
      </x:c>
      <x:c r="I7" s="36" t="str">
        <x:v>WORK_AT_HEIGHT</x:v>
      </x:c>
      <x:c r="J7" s="39" t="n">
        <x:v>15</x:v>
      </x:c>
      <x:c r="K7" s="39" t="n">
        <x:v>6</x:v>
      </x:c>
      <x:c r="L7" s="36" t="str">
        <x:v>PENDING_APPROVAL</x:v>
      </x:c>
      <x:c r="M7" s="36"/>
      <x:c r="N7" s="37"/>
    </x:row>
    <x:row r="8" ht="24" customHeight="1">
      <x:c r="A8" s="36" t="str">
        <x:v>JSA-021</x:v>
      </x:c>
      <x:c r="B8" s="36" t="str">
        <x:v>Clean underground tank</x:v>
      </x:c>
      <x:c r="C8" s="36" t="str">
        <x:v>DEP-UTIL</x:v>
      </x:c>
      <x:c r="D8" s="36" t="str">
        <x:v>ZN-U02</x:v>
      </x:c>
      <x:c r="E8" s="36" t="str">
        <x:v>EMP-027</x:v>
      </x:c>
      <x:c r="F8" s="37" t="n">
        <x:v>46246.291666666664</x:v>
      </x:c>
      <x:c r="G8" s="36" t="str">
        <x:v>ANNUAL</x:v>
      </x:c>
      <x:c r="H8" s="54" t="b">
        <x:v>1</x:v>
      </x:c>
      <x:c r="I8" s="36" t="str">
        <x:v>CONFINED_SPACE</x:v>
      </x:c>
      <x:c r="J8" s="39" t="n">
        <x:v>20</x:v>
      </x:c>
      <x:c r="K8" s="39" t="n">
        <x:v>5</x:v>
      </x:c>
      <x:c r="L8" s="36" t="str">
        <x:v>APPROVED</x:v>
      </x:c>
      <x:c r="M8" s="36" t="str">
        <x:v>EMP-008</x:v>
      </x:c>
      <x:c r="N8" s="37" t="n">
        <x:v>46247.104166666664</x:v>
      </x:c>
    </x:row>
    <x:row r="9" ht="24" customHeight="1">
      <x:c r="A9" s="36" t="str">
        <x:v>JSA-022</x:v>
      </x:c>
      <x:c r="B9" s="36" t="str">
        <x:v>Replace conveyor belt</x:v>
      </x:c>
      <x:c r="C9" s="36" t="str">
        <x:v>DEP-PROD-A</x:v>
      </x:c>
      <x:c r="D9" s="36" t="str">
        <x:v>ZN-A1</x:v>
      </x:c>
      <x:c r="E9" s="36" t="str">
        <x:v>EMP-021</x:v>
      </x:c>
      <x:c r="F9" s="37" t="n">
        <x:v>46245.416666666664</x:v>
      </x:c>
      <x:c r="G9" s="36" t="str">
        <x:v>AS_NEEDED</x:v>
      </x:c>
      <x:c r="H9" s="54" t="b">
        <x:v>1</x:v>
      </x:c>
      <x:c r="I9" s="36" t="str">
        <x:v>MECHANICAL_LOTO</x:v>
      </x:c>
      <x:c r="J9" s="39" t="n">
        <x:v>15</x:v>
      </x:c>
      <x:c r="K9" s="39" t="n">
        <x:v>5</x:v>
      </x:c>
      <x:c r="L9" s="36" t="str">
        <x:v>APPROVED</x:v>
      </x:c>
      <x:c r="M9" s="36" t="str">
        <x:v>EMP-010</x:v>
      </x:c>
      <x:c r="N9" s="37" t="n">
        <x:v>46246.17361111111</x:v>
      </x:c>
    </x:row>
    <x:row r="10" ht="24" customHeight="1">
      <x:c r="A10" s="36" t="str">
        <x:v>JSA-023</x:v>
      </x:c>
      <x:c r="B10" s="36" t="str">
        <x:v>Unload chemical drums</x:v>
      </x:c>
      <x:c r="C10" s="36" t="str">
        <x:v>DEP-WH</x:v>
      </x:c>
      <x:c r="D10" s="36" t="str">
        <x:v>ZN-CHEM</x:v>
      </x:c>
      <x:c r="E10" s="36" t="str">
        <x:v>EMP-024</x:v>
      </x:c>
      <x:c r="F10" s="37" t="n">
        <x:v>46244.375</x:v>
      </x:c>
      <x:c r="G10" s="36" t="str">
        <x:v>WEEKLY</x:v>
      </x:c>
      <x:c r="H10" s="54" t="b">
        <x:v>0</x:v>
      </x:c>
      <x:c r="I10" s="36"/>
      <x:c r="J10" s="39" t="n">
        <x:v>12</x:v>
      </x:c>
      <x:c r="K10" s="39" t="n">
        <x:v>4</x:v>
      </x:c>
      <x:c r="L10" s="36" t="str">
        <x:v>APPROVED</x:v>
      </x:c>
      <x:c r="M10" s="36" t="str">
        <x:v>EMP-012</x:v>
      </x:c>
      <x:c r="N10" s="37" t="n">
        <x:v>46244.47222222222</x:v>
      </x:c>
    </x:row>
    <x:row r="11" ht="24" customHeight="1">
      <x:c r="A11" s="36" t="str">
        <x:v>JSA-024</x:v>
      </x:c>
      <x:c r="B11" s="36" t="str">
        <x:v>Roof cable route inspection</x:v>
      </x:c>
      <x:c r="C11" s="36" t="str">
        <x:v>DEP-UTIL</x:v>
      </x:c>
      <x:c r="D11" s="36" t="str">
        <x:v>ZN-U01</x:v>
      </x:c>
      <x:c r="E11" s="36" t="str">
        <x:v>EMP-026</x:v>
      </x:c>
      <x:c r="F11" s="37" t="n">
        <x:v>46247.208333333336</x:v>
      </x:c>
      <x:c r="G11" s="36" t="str">
        <x:v>QUARTERLY</x:v>
      </x:c>
      <x:c r="H11" s="54" t="b">
        <x:v>1</x:v>
      </x:c>
      <x:c r="I11" s="36" t="str">
        <x:v>WORK_AT_HEIGHT</x:v>
      </x:c>
      <x:c r="J11" s="39" t="n">
        <x:v>12</x:v>
      </x:c>
      <x:c r="K11" s="39" t="n">
        <x:v>6</x:v>
      </x:c>
      <x:c r="L11" s="36" t="str">
        <x:v>DRAFT</x:v>
      </x:c>
      <x:c r="M11" s="36"/>
      <x:c r="N11" s="37"/>
    </x:row>
    <x:row r="12" ht="24" customHeight="1">
      <x:c r="A12" s="41" t="str">
        <x:v>JSA-025</x:v>
      </x:c>
      <x:c r="B12" s="41" t="str">
        <x:v>Laboratory solvent transfer</x:v>
      </x:c>
      <x:c r="C12" s="41" t="str">
        <x:v>DEP-QC</x:v>
      </x:c>
      <x:c r="D12" s="41" t="str">
        <x:v>ZN-Q01</x:v>
      </x:c>
      <x:c r="E12" s="41" t="str">
        <x:v>EMP-034</x:v>
      </x:c>
      <x:c r="F12" s="42" t="n">
        <x:v>46243.25</x:v>
      </x:c>
      <x:c r="G12" s="41" t="str">
        <x:v>DAILY</x:v>
      </x:c>
      <x:c r="H12" s="55" t="b">
        <x:v>0</x:v>
      </x:c>
      <x:c r="I12" s="41"/>
      <x:c r="J12" s="44" t="n">
        <x:v>9</x:v>
      </x:c>
      <x:c r="K12" s="44" t="n">
        <x:v>3</x:v>
      </x:c>
      <x:c r="L12" s="41" t="str">
        <x:v>REJECTED</x:v>
      </x:c>
      <x:c r="M12" s="41" t="str">
        <x:v>EMP-012</x:v>
      </x:c>
      <x:c r="N12" s="42" t="n">
        <x:v>46243.333333333336</x:v>
      </x:c>
    </x:row>
  </x:sheetData>
  <x:mergeCells>
    <x:mergeCell ref="A1:N1"/>
    <x:mergeCell ref="A2:N2"/>
  </x:mergeCells>
  <x:conditionalFormatting sqref="L5:L12">
    <x:cfRule type="containsText" dxfId="462" priority="1" operator="containsText" text="CRITICAL"/>
    <x:cfRule type="containsText" dxfId="463" priority="2" operator="containsText" text="EXPIRED"/>
    <x:cfRule type="containsText" dxfId="464" priority="3" operator="containsText" text="FAILED"/>
    <x:cfRule type="containsText" dxfId="465" priority="4" operator="containsText" text="OVERDUE"/>
    <x:cfRule type="containsText" dxfId="466" priority="5" operator="containsText" text="REJECTED"/>
    <x:cfRule type="containsText" dxfId="467" priority="6" operator="containsText" text="OUT_OF_SERVICE"/>
    <x:cfRule type="containsText" dxfId="468" priority="7" operator="containsText" text="BELOW_THRESHOLD"/>
    <x:cfRule type="containsText" dxfId="469" priority="8" operator="containsText" text="HIGH"/>
    <x:cfRule type="containsText" dxfId="470" priority="9" operator="containsText" text="WARNING"/>
    <x:cfRule type="containsText" dxfId="471" priority="10" operator="containsText" text="DUE_SOON"/>
    <x:cfRule type="containsText" dxfId="472" priority="11" operator="containsText" text="OPEN"/>
    <x:cfRule type="containsText" dxfId="473" priority="12" operator="containsText" text="PENDING"/>
    <x:cfRule type="containsText" dxfId="474" priority="13" operator="containsText" text="SUSPENDED"/>
    <x:cfRule type="containsText" dxfId="475" priority="14" operator="containsText" text="TESTING"/>
    <x:cfRule type="containsText" dxfId="476" priority="15" operator="containsText" text="PARTIAL_FAILURE"/>
    <x:cfRule type="containsText" dxfId="477" priority="16" operator="containsText" text="LOW_STOCK"/>
    <x:cfRule type="containsText" dxfId="478" priority="17" operator="containsText" text="ACTIVE"/>
    <x:cfRule type="containsText" dxfId="479" priority="18" operator="containsText" text="VALID"/>
    <x:cfRule type="containsText" dxfId="480" priority="19" operator="containsText" text="SUCCESS"/>
    <x:cfRule type="containsText" dxfId="481" priority="20" operator="containsText" text="COMPLETED"/>
    <x:cfRule type="containsText" dxfId="482" priority="21" operator="containsText" text="CLOSED"/>
    <x:cfRule type="containsText" dxfId="483" priority="22" operator="containsText" text="CONNECTED"/>
    <x:cfRule type="containsText" dxfId="484" priority="23" operator="containsText" text="NORMAL"/>
    <x:cfRule type="containsText" dxfId="485" priority="24" operator="containsText" text="VERIFIED"/>
    <x:cfRule type="containsText" dxfId="486" priority="25" operator="containsText" text="RESOLVED"/>
    <x:cfRule type="containsText" dxfId="487" priority="26" operator="containsText" text="PASS"/>
    <x:cfRule type="containsText" dxfId="488" priority="27" operator="containsText" text="OK"/>
    <x:cfRule type="containsText" dxfId="489" priority="28" operator="containsText" text="INFO"/>
    <x:cfRule type="containsText" dxfId="490" priority="29" operator="containsText" text="DRAFT"/>
    <x:cfRule type="containsText" dxfId="491" priority="30" operator="containsText" text="SCHEDULED"/>
    <x:cfRule type="containsText" dxfId="492" priority="31" operator="containsText" text="IN_PROGRESS"/>
    <x:cfRule type="containsText" dxfId="493" priority="32" operator="containsText" text="MODEL_REVIEW"/>
    <x:cfRule type="containsText" dxfId="494" priority="33" operator="containsText" text="READ"/>
  </x:conditionalFormatting>
  <x:dataValidations count="2">
    <x:dataValidation type="list" sqref="G5:G12">
      <x:formula1>"DAILY,WEEKLY,MONTHLY,QUARTERLY,ANNUAL,AS_NEEDED"</x:formula1>
    </x:dataValidation>
    <x:dataValidation type="list" sqref="L5:L12">
      <x:formula1>"DRAFT,PENDING_APPROVAL,APPROVED,REJECTED,ARCHIVED"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2525fd6e748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34" hidden="0" customWidth="1"/>
    <x:col min="5" max="5" width="34" hidden="0" customWidth="1"/>
    <x:col min="6" max="6" width="18" hidden="0" customWidth="1"/>
    <x:col min="7" max="7" width="3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</x:cols>
  <x:sheetData>
    <x:row r="1" ht="32" customHeight="1">
      <x:c r="A1" s="17" t="str">
        <x:v>ESCA HSE | JSA_Steps</x:v>
      </x:c>
      <x:c r="B1" s="17" t="str">
        <x:v>ESCA HSE | JSA_Steps</x:v>
      </x:c>
      <x:c r="C1" s="17" t="str">
        <x:v>ESCA HSE | JSA_Steps</x:v>
      </x:c>
      <x:c r="D1" s="17" t="str">
        <x:v>ESCA HSE | JSA_Steps</x:v>
      </x:c>
      <x:c r="E1" s="17" t="str">
        <x:v>ESCA HSE | JSA_Steps</x:v>
      </x:c>
      <x:c r="F1" s="17" t="str">
        <x:v>ESCA HSE | JSA_Steps</x:v>
      </x:c>
      <x:c r="G1" s="17" t="str">
        <x:v>ESCA HSE | JSA_Steps</x:v>
      </x:c>
      <x:c r="H1" s="17" t="str">
        <x:v>ESCA HSE | JSA_Steps</x:v>
      </x:c>
      <x:c r="I1" s="17" t="str">
        <x:v>ESCA HSE | JSA_Steps</x:v>
      </x:c>
      <x:c r="J1" s="17" t="str">
        <x:v>ESCA HSE | JSA_Steps</x:v>
      </x:c>
      <x:c r="K1" s="17" t="str">
        <x:v>ESCA HSE | JSA_Steps</x:v>
      </x:c>
      <x:c r="L1" s="17" t="str">
        <x:v>ESCA HSE | JSA_Steps</x:v>
      </x:c>
      <x:c r="M1" s="17" t="str">
        <x:v>ESCA HSE | JSA_Steps</x:v>
      </x:c>
      <x:c r="N1" s="17" t="str">
        <x:v>ESCA HSE | JSA_Steps</x:v>
      </x:c>
    </x:row>
    <x:row r="2" ht="28" customHeight="1">
      <x:c r="A2" s="21" t="str">
        <x:v>Detailed JSA task steps | Owner: Member 1 | Synthetic sample data | Snapshot: 2026-08-13</x:v>
      </x:c>
      <x:c r="B2" s="21" t="str">
        <x:v>Detailed JSA task steps | Owner: Member 1 | Synthetic sample data | Snapshot: 2026-08-13</x:v>
      </x:c>
      <x:c r="C2" s="21" t="str">
        <x:v>Detailed JSA task steps | Owner: Member 1 | Synthetic sample data | Snapshot: 2026-08-13</x:v>
      </x:c>
      <x:c r="D2" s="21" t="str">
        <x:v>Detailed JSA task steps | Owner: Member 1 | Synthetic sample data | Snapshot: 2026-08-13</x:v>
      </x:c>
      <x:c r="E2" s="21" t="str">
        <x:v>Detailed JSA task steps | Owner: Member 1 | Synthetic sample data | Snapshot: 2026-08-13</x:v>
      </x:c>
      <x:c r="F2" s="21" t="str">
        <x:v>Detailed JSA task steps | Owner: Member 1 | Synthetic sample data | Snapshot: 2026-08-13</x:v>
      </x:c>
      <x:c r="G2" s="21" t="str">
        <x:v>Detailed JSA task steps | Owner: Member 1 | Synthetic sample data | Snapshot: 2026-08-13</x:v>
      </x:c>
      <x:c r="H2" s="21" t="str">
        <x:v>Detailed JSA task steps | Owner: Member 1 | Synthetic sample data | Snapshot: 2026-08-13</x:v>
      </x:c>
      <x:c r="I2" s="21" t="str">
        <x:v>Detailed JSA task steps | Owner: Member 1 | Synthetic sample data | Snapshot: 2026-08-13</x:v>
      </x:c>
      <x:c r="J2" s="21" t="str">
        <x:v>Detailed JSA task steps | Owner: Member 1 | Synthetic sample data | Snapshot: 2026-08-13</x:v>
      </x:c>
      <x:c r="K2" s="21" t="str">
        <x:v>Detailed JSA task steps | Owner: Member 1 | Synthetic sample data | Snapshot: 2026-08-13</x:v>
      </x:c>
      <x:c r="L2" s="21" t="str">
        <x:v>Detailed JSA task steps | Owner: Member 1 | Synthetic sample data | Snapshot: 2026-08-13</x:v>
      </x:c>
      <x:c r="M2" s="21" t="str">
        <x:v>Detailed JSA task steps | Owner: Member 1 | Synthetic sample data | Snapshot: 2026-08-13</x:v>
      </x:c>
      <x:c r="N2" s="21" t="str">
        <x:v>Detailed JSA task steps | Owner: Member 1 | Synthetic sample data | Snapshot: 2026-08-13</x:v>
      </x:c>
    </x:row>
    <x:row r="4" ht="30" customHeight="1">
      <x:c r="A4" s="26" t="str">
        <x:v>step_id</x:v>
      </x:c>
      <x:c r="B4" s="26" t="str">
        <x:v>jsa_id</x:v>
      </x:c>
      <x:c r="C4" s="26" t="str">
        <x:v>step_no</x:v>
      </x:c>
      <x:c r="D4" s="26" t="str">
        <x:v>task_step</x:v>
      </x:c>
      <x:c r="E4" s="26" t="str">
        <x:v>hazard</x:v>
      </x:c>
      <x:c r="F4" s="26" t="str">
        <x:v>control_level</x:v>
      </x:c>
      <x:c r="G4" s="26" t="str">
        <x:v>control_measure</x:v>
      </x:c>
      <x:c r="H4" s="26" t="str">
        <x:v>likelihood_before</x:v>
      </x:c>
      <x:c r="I4" s="26" t="str">
        <x:v>severity_before</x:v>
      </x:c>
      <x:c r="J4" s="26" t="str">
        <x:v>score_before</x:v>
      </x:c>
      <x:c r="K4" s="26" t="str">
        <x:v>likelihood_after</x:v>
      </x:c>
      <x:c r="L4" s="26" t="str">
        <x:v>severity_after</x:v>
      </x:c>
      <x:c r="M4" s="26" t="str">
        <x:v>score_after</x:v>
      </x:c>
      <x:c r="N4" s="26" t="str">
        <x:v>responsible_role</x:v>
      </x:c>
    </x:row>
    <x:row r="5" ht="24" customHeight="1">
      <x:c r="A5" s="31" t="str">
        <x:v>JSA-018-S1</x:v>
      </x:c>
      <x:c r="B5" s="31" t="str">
        <x:v>JSA-018</x:v>
      </x:c>
      <x:c r="C5" s="34" t="n">
        <x:v>1</x:v>
      </x:c>
      <x:c r="D5" s="33" t="str">
        <x:v>Isolate incoming supply</x:v>
      </x:c>
      <x:c r="E5" s="33" t="str">
        <x:v>Unexpected energization</x:v>
      </x:c>
      <x:c r="F5" s="31" t="str">
        <x:v>ELIMINATION</x:v>
      </x:c>
      <x:c r="G5" s="33" t="str">
        <x:v>Open and lock upstream breaker</x:v>
      </x:c>
      <x:c r="H5" s="34" t="n">
        <x:v>4</x:v>
      </x:c>
      <x:c r="I5" s="34" t="n">
        <x:v>5</x:v>
      </x:c>
      <x:c r="J5" s="31" t="n">
        <x:f>H5*I5</x:f>
        <x:v>20</x:v>
      </x:c>
      <x:c r="K5" s="34" t="n">
        <x:v>1</x:v>
      </x:c>
      <x:c r="L5" s="34" t="n">
        <x:v>5</x:v>
      </x:c>
      <x:c r="M5" s="31" t="n">
        <x:f>K5*L5</x:f>
        <x:v>5</x:v>
      </x:c>
      <x:c r="N5" s="31" t="str">
        <x:v>Authorized electrician</x:v>
      </x:c>
    </x:row>
    <x:row r="6" ht="24" customHeight="1">
      <x:c r="A6" s="36" t="str">
        <x:v>JSA-018-S2</x:v>
      </x:c>
      <x:c r="B6" s="36" t="str">
        <x:v>JSA-018</x:v>
      </x:c>
      <x:c r="C6" s="39" t="n">
        <x:v>2</x:v>
      </x:c>
      <x:c r="D6" s="38" t="str">
        <x:v>Verify dead</x:v>
      </x:c>
      <x:c r="E6" s="38" t="str">
        <x:v>Stored or induced voltage</x:v>
      </x:c>
      <x:c r="F6" s="36" t="str">
        <x:v>ENGINEERING</x:v>
      </x:c>
      <x:c r="G6" s="38" t="str">
        <x:v>Approved tester and discharge</x:v>
      </x:c>
      <x:c r="H6" s="39" t="n">
        <x:v>3</x:v>
      </x:c>
      <x:c r="I6" s="39" t="n">
        <x:v>5</x:v>
      </x:c>
      <x:c r="J6" s="36" t="n">
        <x:f>H6*I6</x:f>
        <x:v>15</x:v>
      </x:c>
      <x:c r="K6" s="39" t="n">
        <x:v>1</x:v>
      </x:c>
      <x:c r="L6" s="39" t="n">
        <x:v>5</x:v>
      </x:c>
      <x:c r="M6" s="36" t="n">
        <x:f>K6*L6</x:f>
        <x:v>5</x:v>
      </x:c>
      <x:c r="N6" s="36" t="str">
        <x:v>Authorized electrician</x:v>
      </x:c>
    </x:row>
    <x:row r="7" ht="24" customHeight="1">
      <x:c r="A7" s="36" t="str">
        <x:v>JSA-018-S3</x:v>
      </x:c>
      <x:c r="B7" s="36" t="str">
        <x:v>JSA-018</x:v>
      </x:c>
      <x:c r="C7" s="39" t="n">
        <x:v>3</x:v>
      </x:c>
      <x:c r="D7" s="38" t="str">
        <x:v>Remove breaker</x:v>
      </x:c>
      <x:c r="E7" s="38" t="str">
        <x:v>Crush and arc exposure</x:v>
      </x:c>
      <x:c r="F7" s="36" t="str">
        <x:v>ENGINEERING</x:v>
      </x:c>
      <x:c r="G7" s="38" t="str">
        <x:v>Lifting aid and insulated barriers</x:v>
      </x:c>
      <x:c r="H7" s="39" t="n">
        <x:v>3</x:v>
      </x:c>
      <x:c r="I7" s="39" t="n">
        <x:v>4</x:v>
      </x:c>
      <x:c r="J7" s="36" t="n">
        <x:f>H7*I7</x:f>
        <x:v>12</x:v>
      </x:c>
      <x:c r="K7" s="39" t="n">
        <x:v>1</x:v>
      </x:c>
      <x:c r="L7" s="39" t="n">
        <x:v>4</x:v>
      </x:c>
      <x:c r="M7" s="36" t="n">
        <x:f>K7*L7</x:f>
        <x:v>4</x:v>
      </x:c>
      <x:c r="N7" s="36" t="str">
        <x:v>Electrical team</x:v>
      </x:c>
    </x:row>
    <x:row r="8" ht="24" customHeight="1">
      <x:c r="A8" s="36" t="str">
        <x:v>JSA-019-S1</x:v>
      </x:c>
      <x:c r="B8" s="36" t="str">
        <x:v>JSA-019</x:v>
      </x:c>
      <x:c r="C8" s="39" t="n">
        <x:v>1</x:v>
      </x:c>
      <x:c r="D8" s="38" t="str">
        <x:v>Prepare area</x:v>
      </x:c>
      <x:c r="E8" s="38" t="str">
        <x:v>Flammable materials nearby</x:v>
      </x:c>
      <x:c r="F8" s="36" t="str">
        <x:v>ELIMINATION</x:v>
      </x:c>
      <x:c r="G8" s="38" t="str">
        <x:v>Clear 11 m and verify gas-free</x:v>
      </x:c>
      <x:c r="H8" s="39" t="n">
        <x:v>4</x:v>
      </x:c>
      <x:c r="I8" s="39" t="n">
        <x:v>4</x:v>
      </x:c>
      <x:c r="J8" s="36" t="n">
        <x:f>H8*I8</x:f>
        <x:v>16</x:v>
      </x:c>
      <x:c r="K8" s="39" t="n">
        <x:v>2</x:v>
      </x:c>
      <x:c r="L8" s="39" t="n">
        <x:v>4</x:v>
      </x:c>
      <x:c r="M8" s="36" t="n">
        <x:f>K8*L8</x:f>
        <x:v>8</x:v>
      </x:c>
      <x:c r="N8" s="36" t="str">
        <x:v>Fire watch</x:v>
      </x:c>
    </x:row>
    <x:row r="9" ht="24" customHeight="1">
      <x:c r="A9" s="36" t="str">
        <x:v>JSA-019-S2</x:v>
      </x:c>
      <x:c r="B9" s="36" t="str">
        <x:v>JSA-019</x:v>
      </x:c>
      <x:c r="C9" s="39" t="n">
        <x:v>2</x:v>
      </x:c>
      <x:c r="D9" s="38" t="str">
        <x:v>Weld frame</x:v>
      </x:c>
      <x:c r="E9" s="38" t="str">
        <x:v>Burns and fumes</x:v>
      </x:c>
      <x:c r="F9" s="36" t="str">
        <x:v>ENGINEERING</x:v>
      </x:c>
      <x:c r="G9" s="38" t="str">
        <x:v>LEV and welding screen</x:v>
      </x:c>
      <x:c r="H9" s="39" t="n">
        <x:v>4</x:v>
      </x:c>
      <x:c r="I9" s="39" t="n">
        <x:v>3</x:v>
      </x:c>
      <x:c r="J9" s="36" t="n">
        <x:f>H9*I9</x:f>
        <x:v>12</x:v>
      </x:c>
      <x:c r="K9" s="39" t="n">
        <x:v>2</x:v>
      </x:c>
      <x:c r="L9" s="39" t="n">
        <x:v>3</x:v>
      </x:c>
      <x:c r="M9" s="36" t="n">
        <x:f>K9*L9</x:f>
        <x:v>6</x:v>
      </x:c>
      <x:c r="N9" s="36" t="str">
        <x:v>Welder</x:v>
      </x:c>
    </x:row>
    <x:row r="10" ht="24" customHeight="1">
      <x:c r="A10" s="36" t="str">
        <x:v>JSA-019-S3</x:v>
      </x:c>
      <x:c r="B10" s="36" t="str">
        <x:v>JSA-019</x:v>
      </x:c>
      <x:c r="C10" s="39" t="n">
        <x:v>3</x:v>
      </x:c>
      <x:c r="D10" s="38" t="str">
        <x:v>Post-work watch</x:v>
      </x:c>
      <x:c r="E10" s="38" t="str">
        <x:v>Smouldering ignition</x:v>
      </x:c>
      <x:c r="F10" s="36" t="str">
        <x:v>ADMINISTRATIVE</x:v>
      </x:c>
      <x:c r="G10" s="38" t="str">
        <x:v>30-minute fire watch</x:v>
      </x:c>
      <x:c r="H10" s="39" t="n">
        <x:v>3</x:v>
      </x:c>
      <x:c r="I10" s="39" t="n">
        <x:v>4</x:v>
      </x:c>
      <x:c r="J10" s="36" t="n">
        <x:f>H10*I10</x:f>
        <x:v>12</x:v>
      </x:c>
      <x:c r="K10" s="39" t="n">
        <x:v>1</x:v>
      </x:c>
      <x:c r="L10" s="39" t="n">
        <x:v>4</x:v>
      </x:c>
      <x:c r="M10" s="36" t="n">
        <x:f>K10*L10</x:f>
        <x:v>4</x:v>
      </x:c>
      <x:c r="N10" s="36" t="str">
        <x:v>Fire watch</x:v>
      </x:c>
    </x:row>
    <x:row r="11" ht="24" customHeight="1">
      <x:c r="A11" s="36" t="str">
        <x:v>JSA-020-S1</x:v>
      </x:c>
      <x:c r="B11" s="36" t="str">
        <x:v>JSA-020</x:v>
      </x:c>
      <x:c r="C11" s="39" t="n">
        <x:v>1</x:v>
      </x:c>
      <x:c r="D11" s="38" t="str">
        <x:v>Access upper unit</x:v>
      </x:c>
      <x:c r="E11" s="38" t="str">
        <x:v>Fall from height</x:v>
      </x:c>
      <x:c r="F11" s="36" t="str">
        <x:v>ENGINEERING</x:v>
      </x:c>
      <x:c r="G11" s="38" t="str">
        <x:v>Certified platform and guardrail</x:v>
      </x:c>
      <x:c r="H11" s="39" t="n">
        <x:v>3</x:v>
      </x:c>
      <x:c r="I11" s="39" t="n">
        <x:v>5</x:v>
      </x:c>
      <x:c r="J11" s="36" t="n">
        <x:f>H11*I11</x:f>
        <x:v>15</x:v>
      </x:c>
      <x:c r="K11" s="39" t="n">
        <x:v>1</x:v>
      </x:c>
      <x:c r="L11" s="39" t="n">
        <x:v>5</x:v>
      </x:c>
      <x:c r="M11" s="36" t="n">
        <x:f>K11*L11</x:f>
        <x:v>5</x:v>
      </x:c>
      <x:c r="N11" s="36" t="str">
        <x:v>Maintenance</x:v>
      </x:c>
    </x:row>
    <x:row r="12" ht="24" customHeight="1">
      <x:c r="A12" s="36" t="str">
        <x:v>JSA-020-S2</x:v>
      </x:c>
      <x:c r="B12" s="36" t="str">
        <x:v>JSA-020</x:v>
      </x:c>
      <x:c r="C12" s="39" t="n">
        <x:v>2</x:v>
      </x:c>
      <x:c r="D12" s="38" t="str">
        <x:v>Isolate fan</x:v>
      </x:c>
      <x:c r="E12" s="38" t="str">
        <x:v>Unexpected start</x:v>
      </x:c>
      <x:c r="F12" s="36" t="str">
        <x:v>ELIMINATION</x:v>
      </x:c>
      <x:c r="G12" s="38" t="str">
        <x:v>LOTO and try-test</x:v>
      </x:c>
      <x:c r="H12" s="39" t="n">
        <x:v>3</x:v>
      </x:c>
      <x:c r="I12" s="39" t="n">
        <x:v>5</x:v>
      </x:c>
      <x:c r="J12" s="36" t="n">
        <x:f>H12*I12</x:f>
        <x:v>15</x:v>
      </x:c>
      <x:c r="K12" s="39" t="n">
        <x:v>1</x:v>
      </x:c>
      <x:c r="L12" s="39" t="n">
        <x:v>5</x:v>
      </x:c>
      <x:c r="M12" s="36" t="n">
        <x:f>K12*L12</x:f>
        <x:v>5</x:v>
      </x:c>
      <x:c r="N12" s="36" t="str">
        <x:v>Electrical</x:v>
      </x:c>
    </x:row>
    <x:row r="13" ht="24" customHeight="1">
      <x:c r="A13" s="36" t="str">
        <x:v>JSA-020-S3</x:v>
      </x:c>
      <x:c r="B13" s="36" t="str">
        <x:v>JSA-020</x:v>
      </x:c>
      <x:c r="C13" s="39" t="n">
        <x:v>3</x:v>
      </x:c>
      <x:c r="D13" s="38" t="str">
        <x:v>Service duct</x:v>
      </x:c>
      <x:c r="E13" s="38" t="str">
        <x:v>Dropped tools</x:v>
      </x:c>
      <x:c r="F13" s="36" t="str">
        <x:v>ENGINEERING</x:v>
      </x:c>
      <x:c r="G13" s="38" t="str">
        <x:v>Tool lanyards and exclusion zone</x:v>
      </x:c>
      <x:c r="H13" s="39" t="n">
        <x:v>3</x:v>
      </x:c>
      <x:c r="I13" s="39" t="n">
        <x:v>4</x:v>
      </x:c>
      <x:c r="J13" s="36" t="n">
        <x:f>H13*I13</x:f>
        <x:v>12</x:v>
      </x:c>
      <x:c r="K13" s="39" t="n">
        <x:v>2</x:v>
      </x:c>
      <x:c r="L13" s="39" t="n">
        <x:v>3</x:v>
      </x:c>
      <x:c r="M13" s="36" t="n">
        <x:f>K13*L13</x:f>
        <x:v>6</x:v>
      </x:c>
      <x:c r="N13" s="36" t="str">
        <x:v>Maintenance</x:v>
      </x:c>
    </x:row>
    <x:row r="14" ht="24" customHeight="1">
      <x:c r="A14" s="36" t="str">
        <x:v>JSA-021-S1</x:v>
      </x:c>
      <x:c r="B14" s="36" t="str">
        <x:v>JSA-021</x:v>
      </x:c>
      <x:c r="C14" s="39" t="n">
        <x:v>1</x:v>
      </x:c>
      <x:c r="D14" s="38" t="str">
        <x:v>Test atmosphere</x:v>
      </x:c>
      <x:c r="E14" s="38" t="str">
        <x:v>Low oxygen/toxic gas</x:v>
      </x:c>
      <x:c r="F14" s="36" t="str">
        <x:v>ENGINEERING</x:v>
      </x:c>
      <x:c r="G14" s="38" t="str">
        <x:v>Calibrated multigas test</x:v>
      </x:c>
      <x:c r="H14" s="39" t="n">
        <x:v>4</x:v>
      </x:c>
      <x:c r="I14" s="39" t="n">
        <x:v>5</x:v>
      </x:c>
      <x:c r="J14" s="36" t="n">
        <x:f>H14*I14</x:f>
        <x:v>20</x:v>
      </x:c>
      <x:c r="K14" s="39" t="n">
        <x:v>1</x:v>
      </x:c>
      <x:c r="L14" s="39" t="n">
        <x:v>5</x:v>
      </x:c>
      <x:c r="M14" s="36" t="n">
        <x:f>K14*L14</x:f>
        <x:v>5</x:v>
      </x:c>
      <x:c r="N14" s="36" t="str">
        <x:v>Entry supervisor</x:v>
      </x:c>
    </x:row>
    <x:row r="15" ht="24" customHeight="1">
      <x:c r="A15" s="36" t="str">
        <x:v>JSA-021-S2</x:v>
      </x:c>
      <x:c r="B15" s="36" t="str">
        <x:v>JSA-021</x:v>
      </x:c>
      <x:c r="C15" s="39" t="n">
        <x:v>2</x:v>
      </x:c>
      <x:c r="D15" s="38" t="str">
        <x:v>Enter tank</x:v>
      </x:c>
      <x:c r="E15" s="38" t="str">
        <x:v>Engulfment/man-down</x:v>
      </x:c>
      <x:c r="F15" s="36" t="str">
        <x:v>ENGINEERING</x:v>
      </x:c>
      <x:c r="G15" s="38" t="str">
        <x:v>Tripod, attendant, continuous monitor</x:v>
      </x:c>
      <x:c r="H15" s="39" t="n">
        <x:v>4</x:v>
      </x:c>
      <x:c r="I15" s="39" t="n">
        <x:v>5</x:v>
      </x:c>
      <x:c r="J15" s="36" t="n">
        <x:f>H15*I15</x:f>
        <x:v>20</x:v>
      </x:c>
      <x:c r="K15" s="39" t="n">
        <x:v>1</x:v>
      </x:c>
      <x:c r="L15" s="39" t="n">
        <x:v>5</x:v>
      </x:c>
      <x:c r="M15" s="36" t="n">
        <x:f>K15*L15</x:f>
        <x:v>5</x:v>
      </x:c>
      <x:c r="N15" s="36" t="str">
        <x:v>Entry team</x:v>
      </x:c>
    </x:row>
    <x:row r="16" ht="24" customHeight="1">
      <x:c r="A16" s="36" t="str">
        <x:v>JSA-021-S3</x:v>
      </x:c>
      <x:c r="B16" s="36" t="str">
        <x:v>JSA-021</x:v>
      </x:c>
      <x:c r="C16" s="39" t="n">
        <x:v>3</x:v>
      </x:c>
      <x:c r="D16" s="38" t="str">
        <x:v>Clean tank</x:v>
      </x:c>
      <x:c r="E16" s="38" t="str">
        <x:v>Chemical residue</x:v>
      </x:c>
      <x:c r="F16" s="36" t="str">
        <x:v>SUBSTITUTION</x:v>
      </x:c>
      <x:c r="G16" s="38" t="str">
        <x:v>Use approved low-hazard cleaner</x:v>
      </x:c>
      <x:c r="H16" s="39" t="n">
        <x:v>3</x:v>
      </x:c>
      <x:c r="I16" s="39" t="n">
        <x:v>4</x:v>
      </x:c>
      <x:c r="J16" s="36" t="n">
        <x:f>H16*I16</x:f>
        <x:v>12</x:v>
      </x:c>
      <x:c r="K16" s="39" t="n">
        <x:v>1</x:v>
      </x:c>
      <x:c r="L16" s="39" t="n">
        <x:v>4</x:v>
      </x:c>
      <x:c r="M16" s="36" t="n">
        <x:f>K16*L16</x:f>
        <x:v>4</x:v>
      </x:c>
      <x:c r="N16" s="36" t="str">
        <x:v>Entry team</x:v>
      </x:c>
    </x:row>
    <x:row r="17" ht="24" customHeight="1">
      <x:c r="A17" s="36" t="str">
        <x:v>JSA-022-S1</x:v>
      </x:c>
      <x:c r="B17" s="36" t="str">
        <x:v>JSA-022</x:v>
      </x:c>
      <x:c r="C17" s="39" t="n">
        <x:v>1</x:v>
      </x:c>
      <x:c r="D17" s="38" t="str">
        <x:v>Stop conveyor</x:v>
      </x:c>
      <x:c r="E17" s="38" t="str">
        <x:v>Unexpected movement</x:v>
      </x:c>
      <x:c r="F17" s="36" t="str">
        <x:v>ELIMINATION</x:v>
      </x:c>
      <x:c r="G17" s="38" t="str">
        <x:v>LOTO all energy sources</x:v>
      </x:c>
      <x:c r="H17" s="39" t="n">
        <x:v>3</x:v>
      </x:c>
      <x:c r="I17" s="39" t="n">
        <x:v>5</x:v>
      </x:c>
      <x:c r="J17" s="36" t="n">
        <x:f>H17*I17</x:f>
        <x:v>15</x:v>
      </x:c>
      <x:c r="K17" s="39" t="n">
        <x:v>1</x:v>
      </x:c>
      <x:c r="L17" s="39" t="n">
        <x:v>5</x:v>
      </x:c>
      <x:c r="M17" s="36" t="n">
        <x:f>K17*L17</x:f>
        <x:v>5</x:v>
      </x:c>
      <x:c r="N17" s="36" t="str">
        <x:v>Maintenance</x:v>
      </x:c>
    </x:row>
    <x:row r="18" ht="24" customHeight="1">
      <x:c r="A18" s="36" t="str">
        <x:v>JSA-022-S2</x:v>
      </x:c>
      <x:c r="B18" s="36" t="str">
        <x:v>JSA-022</x:v>
      </x:c>
      <x:c r="C18" s="39" t="n">
        <x:v>2</x:v>
      </x:c>
      <x:c r="D18" s="38" t="str">
        <x:v>Remove belt</x:v>
      </x:c>
      <x:c r="E18" s="38" t="str">
        <x:v>Manual handling</x:v>
      </x:c>
      <x:c r="F18" s="36" t="str">
        <x:v>ENGINEERING</x:v>
      </x:c>
      <x:c r="G18" s="38" t="str">
        <x:v>Belt puller and team lift</x:v>
      </x:c>
      <x:c r="H18" s="39" t="n">
        <x:v>4</x:v>
      </x:c>
      <x:c r="I18" s="39" t="n">
        <x:v>3</x:v>
      </x:c>
      <x:c r="J18" s="36" t="n">
        <x:f>H18*I18</x:f>
        <x:v>12</x:v>
      </x:c>
      <x:c r="K18" s="39" t="n">
        <x:v>2</x:v>
      </x:c>
      <x:c r="L18" s="39" t="n">
        <x:v>2</x:v>
      </x:c>
      <x:c r="M18" s="36" t="n">
        <x:f>K18*L18</x:f>
        <x:v>4</x:v>
      </x:c>
      <x:c r="N18" s="36" t="str">
        <x:v>Maintenance</x:v>
      </x:c>
    </x:row>
    <x:row r="19" ht="24" customHeight="1">
      <x:c r="A19" s="36" t="str">
        <x:v>JSA-022-S3</x:v>
      </x:c>
      <x:c r="B19" s="36" t="str">
        <x:v>JSA-022</x:v>
      </x:c>
      <x:c r="C19" s="39" t="n">
        <x:v>3</x:v>
      </x:c>
      <x:c r="D19" s="38" t="str">
        <x:v>Test run</x:v>
      </x:c>
      <x:c r="E19" s="38" t="str">
        <x:v>Entanglement</x:v>
      </x:c>
      <x:c r="F19" s="36" t="str">
        <x:v>ADMINISTRATIVE</x:v>
      </x:c>
      <x:c r="G19" s="38" t="str">
        <x:v>Clear area and controlled test</x:v>
      </x:c>
      <x:c r="H19" s="39" t="n">
        <x:v>3</x:v>
      </x:c>
      <x:c r="I19" s="39" t="n">
        <x:v>5</x:v>
      </x:c>
      <x:c r="J19" s="36" t="n">
        <x:f>H19*I19</x:f>
        <x:v>15</x:v>
      </x:c>
      <x:c r="K19" s="39" t="n">
        <x:v>1</x:v>
      </x:c>
      <x:c r="L19" s="39" t="n">
        <x:v>5</x:v>
      </x:c>
      <x:c r="M19" s="36" t="n">
        <x:f>K19*L19</x:f>
        <x:v>5</x:v>
      </x:c>
      <x:c r="N19" s="36" t="str">
        <x:v>Supervisor</x:v>
      </x:c>
    </x:row>
    <x:row r="20" ht="24" customHeight="1">
      <x:c r="A20" s="36" t="str">
        <x:v>JSA-023-S1</x:v>
      </x:c>
      <x:c r="B20" s="36" t="str">
        <x:v>JSA-023</x:v>
      </x:c>
      <x:c r="C20" s="39" t="n">
        <x:v>1</x:v>
      </x:c>
      <x:c r="D20" s="38" t="str">
        <x:v>Inspect drums</x:v>
      </x:c>
      <x:c r="E20" s="38" t="str">
        <x:v>Leak/corrosion</x:v>
      </x:c>
      <x:c r="F20" s="36" t="str">
        <x:v>ENGINEERING</x:v>
      </x:c>
      <x:c r="G20" s="38" t="str">
        <x:v>Visual check and spill pallet</x:v>
      </x:c>
      <x:c r="H20" s="39" t="n">
        <x:v>3</x:v>
      </x:c>
      <x:c r="I20" s="39" t="n">
        <x:v>4</x:v>
      </x:c>
      <x:c r="J20" s="36" t="n">
        <x:f>H20*I20</x:f>
        <x:v>12</x:v>
      </x:c>
      <x:c r="K20" s="39" t="n">
        <x:v>1</x:v>
      </x:c>
      <x:c r="L20" s="39" t="n">
        <x:v>4</x:v>
      </x:c>
      <x:c r="M20" s="36" t="n">
        <x:f>K20*L20</x:f>
        <x:v>4</x:v>
      </x:c>
      <x:c r="N20" s="36" t="str">
        <x:v>Storekeeper</x:v>
      </x:c>
    </x:row>
    <x:row r="21" ht="24" customHeight="1">
      <x:c r="A21" s="36" t="str">
        <x:v>JSA-023-S2</x:v>
      </x:c>
      <x:c r="B21" s="36" t="str">
        <x:v>JSA-023</x:v>
      </x:c>
      <x:c r="C21" s="39" t="n">
        <x:v>2</x:v>
      </x:c>
      <x:c r="D21" s="38" t="str">
        <x:v>Unload drums</x:v>
      </x:c>
      <x:c r="E21" s="38" t="str">
        <x:v>Dropped load</x:v>
      </x:c>
      <x:c r="F21" s="36" t="str">
        <x:v>ENGINEERING</x:v>
      </x:c>
      <x:c r="G21" s="38" t="str">
        <x:v>Drum clamp and exclusion zone</x:v>
      </x:c>
      <x:c r="H21" s="39" t="n">
        <x:v>3</x:v>
      </x:c>
      <x:c r="I21" s="39" t="n">
        <x:v>4</x:v>
      </x:c>
      <x:c r="J21" s="36" t="n">
        <x:f>H21*I21</x:f>
        <x:v>12</x:v>
      </x:c>
      <x:c r="K21" s="39" t="n">
        <x:v>1</x:v>
      </x:c>
      <x:c r="L21" s="39" t="n">
        <x:v>4</x:v>
      </x:c>
      <x:c r="M21" s="36" t="n">
        <x:f>K21*L21</x:f>
        <x:v>4</x:v>
      </x:c>
      <x:c r="N21" s="36" t="str">
        <x:v>Forklift operator</x:v>
      </x:c>
    </x:row>
    <x:row r="22" ht="24" customHeight="1">
      <x:c r="A22" s="36" t="str">
        <x:v>JSA-023-S3</x:v>
      </x:c>
      <x:c r="B22" s="36" t="str">
        <x:v>JSA-023</x:v>
      </x:c>
      <x:c r="C22" s="39" t="n">
        <x:v>3</x:v>
      </x:c>
      <x:c r="D22" s="38" t="str">
        <x:v>Store drums</x:v>
      </x:c>
      <x:c r="E22" s="38" t="str">
        <x:v>Incompatible storage</x:v>
      </x:c>
      <x:c r="F22" s="36" t="str">
        <x:v>ADMINISTRATIVE</x:v>
      </x:c>
      <x:c r="G22" s="38" t="str">
        <x:v>Compatibility matrix check</x:v>
      </x:c>
      <x:c r="H22" s="39" t="n">
        <x:v>3</x:v>
      </x:c>
      <x:c r="I22" s="39" t="n">
        <x:v>4</x:v>
      </x:c>
      <x:c r="J22" s="36" t="n">
        <x:f>H22*I22</x:f>
        <x:v>12</x:v>
      </x:c>
      <x:c r="K22" s="39" t="n">
        <x:v>1</x:v>
      </x:c>
      <x:c r="L22" s="39" t="n">
        <x:v>3</x:v>
      </x:c>
      <x:c r="M22" s="36" t="n">
        <x:f>K22*L22</x:f>
        <x:v>3</x:v>
      </x:c>
      <x:c r="N22" s="36" t="str">
        <x:v>Storekeeper</x:v>
      </x:c>
    </x:row>
    <x:row r="23" ht="24" customHeight="1">
      <x:c r="A23" s="36" t="str">
        <x:v>JSA-024-S1</x:v>
      </x:c>
      <x:c r="B23" s="36" t="str">
        <x:v>JSA-024</x:v>
      </x:c>
      <x:c r="C23" s="39" t="n">
        <x:v>1</x:v>
      </x:c>
      <x:c r="D23" s="38" t="str">
        <x:v>Access roof</x:v>
      </x:c>
      <x:c r="E23" s="38" t="str">
        <x:v>Fall</x:v>
      </x:c>
      <x:c r="F23" s="36" t="str">
        <x:v>ENGINEERING</x:v>
      </x:c>
      <x:c r="G23" s="38" t="str">
        <x:v>Certified access and harness</x:v>
      </x:c>
      <x:c r="H23" s="39" t="n">
        <x:v>3</x:v>
      </x:c>
      <x:c r="I23" s="39" t="n">
        <x:v>5</x:v>
      </x:c>
      <x:c r="J23" s="36" t="n">
        <x:f>H23*I23</x:f>
        <x:v>15</x:v>
      </x:c>
      <x:c r="K23" s="39" t="n">
        <x:v>1</x:v>
      </x:c>
      <x:c r="L23" s="39" t="n">
        <x:v>5</x:v>
      </x:c>
      <x:c r="M23" s="36" t="n">
        <x:f>K23*L23</x:f>
        <x:v>5</x:v>
      </x:c>
      <x:c r="N23" s="36" t="str">
        <x:v>Inspector</x:v>
      </x:c>
    </x:row>
    <x:row r="24" ht="24" customHeight="1">
      <x:c r="A24" s="36" t="str">
        <x:v>JSA-024-S2</x:v>
      </x:c>
      <x:c r="B24" s="36" t="str">
        <x:v>JSA-024</x:v>
      </x:c>
      <x:c r="C24" s="39" t="n">
        <x:v>2</x:v>
      </x:c>
      <x:c r="D24" s="38" t="str">
        <x:v>Inspect route</x:v>
      </x:c>
      <x:c r="E24" s="38" t="str">
        <x:v>Sharp edges</x:v>
      </x:c>
      <x:c r="F24" s="36" t="str">
        <x:v>PPE</x:v>
      </x:c>
      <x:c r="G24" s="38" t="str">
        <x:v>Cut-resistant gloves</x:v>
      </x:c>
      <x:c r="H24" s="39" t="n">
        <x:v>3</x:v>
      </x:c>
      <x:c r="I24" s="39" t="n">
        <x:v>2</x:v>
      </x:c>
      <x:c r="J24" s="36" t="n">
        <x:f>H24*I24</x:f>
        <x:v>6</x:v>
      </x:c>
      <x:c r="K24" s="39" t="n">
        <x:v>1</x:v>
      </x:c>
      <x:c r="L24" s="39" t="n">
        <x:v>2</x:v>
      </x:c>
      <x:c r="M24" s="36" t="n">
        <x:f>K24*L24</x:f>
        <x:v>2</x:v>
      </x:c>
      <x:c r="N24" s="36" t="str">
        <x:v>Inspector</x:v>
      </x:c>
    </x:row>
    <x:row r="25" ht="24" customHeight="1">
      <x:c r="A25" s="36" t="str">
        <x:v>JSA-024-S3</x:v>
      </x:c>
      <x:c r="B25" s="36" t="str">
        <x:v>JSA-024</x:v>
      </x:c>
      <x:c r="C25" s="39" t="n">
        <x:v>3</x:v>
      </x:c>
      <x:c r="D25" s="38" t="str">
        <x:v>Exit roof</x:v>
      </x:c>
      <x:c r="E25" s="38" t="str">
        <x:v>Dropped objects</x:v>
      </x:c>
      <x:c r="F25" s="36" t="str">
        <x:v>ADMINISTRATIVE</x:v>
      </x:c>
      <x:c r="G25" s="38" t="str">
        <x:v>Barricade below</x:v>
      </x:c>
      <x:c r="H25" s="39" t="n">
        <x:v>2</x:v>
      </x:c>
      <x:c r="I25" s="39" t="n">
        <x:v>4</x:v>
      </x:c>
      <x:c r="J25" s="36" t="n">
        <x:f>H25*I25</x:f>
        <x:v>8</x:v>
      </x:c>
      <x:c r="K25" s="39" t="n">
        <x:v>1</x:v>
      </x:c>
      <x:c r="L25" s="39" t="n">
        <x:v>3</x:v>
      </x:c>
      <x:c r="M25" s="36" t="n">
        <x:f>K25*L25</x:f>
        <x:v>3</x:v>
      </x:c>
      <x:c r="N25" s="36" t="str">
        <x:v>Inspector</x:v>
      </x:c>
    </x:row>
    <x:row r="26" ht="24" customHeight="1">
      <x:c r="A26" s="36" t="str">
        <x:v>JSA-025-S1</x:v>
      </x:c>
      <x:c r="B26" s="36" t="str">
        <x:v>JSA-025</x:v>
      </x:c>
      <x:c r="C26" s="39" t="n">
        <x:v>1</x:v>
      </x:c>
      <x:c r="D26" s="38" t="str">
        <x:v>Prepare container</x:v>
      </x:c>
      <x:c r="E26" s="38" t="str">
        <x:v>Static ignition</x:v>
      </x:c>
      <x:c r="F26" s="36" t="str">
        <x:v>ENGINEERING</x:v>
      </x:c>
      <x:c r="G26" s="38" t="str">
        <x:v>Bonding and grounding</x:v>
      </x:c>
      <x:c r="H26" s="39" t="n">
        <x:v>3</x:v>
      </x:c>
      <x:c r="I26" s="39" t="n">
        <x:v>4</x:v>
      </x:c>
      <x:c r="J26" s="36" t="n">
        <x:f>H26*I26</x:f>
        <x:v>12</x:v>
      </x:c>
      <x:c r="K26" s="39" t="n">
        <x:v>1</x:v>
      </x:c>
      <x:c r="L26" s="39" t="n">
        <x:v>4</x:v>
      </x:c>
      <x:c r="M26" s="36" t="n">
        <x:f>K26*L26</x:f>
        <x:v>4</x:v>
      </x:c>
      <x:c r="N26" s="36" t="str">
        <x:v>Chemist</x:v>
      </x:c>
    </x:row>
    <x:row r="27" ht="24" customHeight="1">
      <x:c r="A27" s="36" t="str">
        <x:v>JSA-025-S2</x:v>
      </x:c>
      <x:c r="B27" s="36" t="str">
        <x:v>JSA-025</x:v>
      </x:c>
      <x:c r="C27" s="39" t="n">
        <x:v>2</x:v>
      </x:c>
      <x:c r="D27" s="38" t="str">
        <x:v>Transfer solvent</x:v>
      </x:c>
      <x:c r="E27" s="38" t="str">
        <x:v>Vapour inhalation</x:v>
      </x:c>
      <x:c r="F27" s="36" t="str">
        <x:v>ENGINEERING</x:v>
      </x:c>
      <x:c r="G27" s="38" t="str">
        <x:v>Fume hood</x:v>
      </x:c>
      <x:c r="H27" s="39" t="n">
        <x:v>3</x:v>
      </x:c>
      <x:c r="I27" s="39" t="n">
        <x:v>3</x:v>
      </x:c>
      <x:c r="J27" s="36" t="n">
        <x:f>H27*I27</x:f>
        <x:v>9</x:v>
      </x:c>
      <x:c r="K27" s="39" t="n">
        <x:v>1</x:v>
      </x:c>
      <x:c r="L27" s="39" t="n">
        <x:v>3</x:v>
      </x:c>
      <x:c r="M27" s="36" t="n">
        <x:f>K27*L27</x:f>
        <x:v>3</x:v>
      </x:c>
      <x:c r="N27" s="36" t="str">
        <x:v>Chemist</x:v>
      </x:c>
    </x:row>
    <x:row r="28" ht="24" customHeight="1">
      <x:c r="A28" s="41" t="str">
        <x:v>JSA-025-S3</x:v>
      </x:c>
      <x:c r="B28" s="41" t="str">
        <x:v>JSA-025</x:v>
      </x:c>
      <x:c r="C28" s="44" t="n">
        <x:v>3</x:v>
      </x:c>
      <x:c r="D28" s="43" t="str">
        <x:v>Dispose residue</x:v>
      </x:c>
      <x:c r="E28" s="43" t="str">
        <x:v>Environmental release</x:v>
      </x:c>
      <x:c r="F28" s="41" t="str">
        <x:v>ADMINISTRATIVE</x:v>
      </x:c>
      <x:c r="G28" s="43" t="str">
        <x:v>Labelled hazardous waste container</x:v>
      </x:c>
      <x:c r="H28" s="44" t="n">
        <x:v>2</x:v>
      </x:c>
      <x:c r="I28" s="44" t="n">
        <x:v>4</x:v>
      </x:c>
      <x:c r="J28" s="41" t="n">
        <x:f>H28*I28</x:f>
        <x:v>8</x:v>
      </x:c>
      <x:c r="K28" s="44" t="n">
        <x:v>1</x:v>
      </x:c>
      <x:c r="L28" s="44" t="n">
        <x:v>3</x:v>
      </x:c>
      <x:c r="M28" s="41" t="n">
        <x:f>K28*L28</x:f>
        <x:v>3</x:v>
      </x:c>
      <x:c r="N28" s="41" t="str">
        <x:v>Chemist</x:v>
      </x:c>
    </x:row>
  </x:sheetData>
  <x:mergeCells>
    <x:mergeCell ref="A1:N1"/>
    <x:mergeCell ref="A2:N2"/>
  </x:mergeCells>
  <x:conditionalFormatting sqref="F5:F28">
    <x:cfRule type="containsText" dxfId="495" priority="1" operator="containsText" text="CRITICAL"/>
    <x:cfRule type="containsText" dxfId="496" priority="2" operator="containsText" text="EXPIRED"/>
    <x:cfRule type="containsText" dxfId="497" priority="3" operator="containsText" text="FAILED"/>
    <x:cfRule type="containsText" dxfId="498" priority="4" operator="containsText" text="OVERDUE"/>
    <x:cfRule type="containsText" dxfId="499" priority="5" operator="containsText" text="REJECTED"/>
    <x:cfRule type="containsText" dxfId="500" priority="6" operator="containsText" text="OUT_OF_SERVICE"/>
    <x:cfRule type="containsText" dxfId="501" priority="7" operator="containsText" text="BELOW_THRESHOLD"/>
    <x:cfRule type="containsText" dxfId="502" priority="8" operator="containsText" text="HIGH"/>
    <x:cfRule type="containsText" dxfId="503" priority="9" operator="containsText" text="WARNING"/>
    <x:cfRule type="containsText" dxfId="504" priority="10" operator="containsText" text="DUE_SOON"/>
    <x:cfRule type="containsText" dxfId="505" priority="11" operator="containsText" text="OPEN"/>
    <x:cfRule type="containsText" dxfId="506" priority="12" operator="containsText" text="PENDING"/>
    <x:cfRule type="containsText" dxfId="507" priority="13" operator="containsText" text="SUSPENDED"/>
    <x:cfRule type="containsText" dxfId="508" priority="14" operator="containsText" text="TESTING"/>
    <x:cfRule type="containsText" dxfId="509" priority="15" operator="containsText" text="PARTIAL_FAILURE"/>
    <x:cfRule type="containsText" dxfId="510" priority="16" operator="containsText" text="LOW_STOCK"/>
    <x:cfRule type="containsText" dxfId="511" priority="17" operator="containsText" text="ACTIVE"/>
    <x:cfRule type="containsText" dxfId="512" priority="18" operator="containsText" text="VALID"/>
    <x:cfRule type="containsText" dxfId="513" priority="19" operator="containsText" text="SUCCESS"/>
    <x:cfRule type="containsText" dxfId="514" priority="20" operator="containsText" text="COMPLETED"/>
    <x:cfRule type="containsText" dxfId="515" priority="21" operator="containsText" text="CLOSED"/>
    <x:cfRule type="containsText" dxfId="516" priority="22" operator="containsText" text="CONNECTED"/>
    <x:cfRule type="containsText" dxfId="517" priority="23" operator="containsText" text="NORMAL"/>
    <x:cfRule type="containsText" dxfId="518" priority="24" operator="containsText" text="VERIFIED"/>
    <x:cfRule type="containsText" dxfId="519" priority="25" operator="containsText" text="RESOLVED"/>
    <x:cfRule type="containsText" dxfId="520" priority="26" operator="containsText" text="PASS"/>
    <x:cfRule type="containsText" dxfId="521" priority="27" operator="containsText" text="OK"/>
    <x:cfRule type="containsText" dxfId="522" priority="28" operator="containsText" text="INFO"/>
    <x:cfRule type="containsText" dxfId="523" priority="29" operator="containsText" text="DRAFT"/>
    <x:cfRule type="containsText" dxfId="524" priority="30" operator="containsText" text="SCHEDULED"/>
    <x:cfRule type="containsText" dxfId="525" priority="31" operator="containsText" text="IN_PROGRESS"/>
    <x:cfRule type="containsText" dxfId="526" priority="32" operator="containsText" text="MODEL_REVIEW"/>
    <x:cfRule type="containsText" dxfId="527" priority="33" operator="containsText" text="READ"/>
  </x:conditionalFormatting>
  <x:conditionalFormatting sqref="I5:I28">
    <x:cfRule type="containsText" dxfId="528" priority="34" operator="containsText" text="CRITICAL"/>
    <x:cfRule type="containsText" dxfId="529" priority="35" operator="containsText" text="EXPIRED"/>
    <x:cfRule type="containsText" dxfId="530" priority="36" operator="containsText" text="FAILED"/>
    <x:cfRule type="containsText" dxfId="531" priority="37" operator="containsText" text="OVERDUE"/>
    <x:cfRule type="containsText" dxfId="532" priority="38" operator="containsText" text="REJECTED"/>
    <x:cfRule type="containsText" dxfId="533" priority="39" operator="containsText" text="OUT_OF_SERVICE"/>
    <x:cfRule type="containsText" dxfId="534" priority="40" operator="containsText" text="BELOW_THRESHOLD"/>
    <x:cfRule type="containsText" dxfId="535" priority="41" operator="containsText" text="HIGH"/>
    <x:cfRule type="containsText" dxfId="536" priority="42" operator="containsText" text="WARNING"/>
    <x:cfRule type="containsText" dxfId="537" priority="43" operator="containsText" text="DUE_SOON"/>
    <x:cfRule type="containsText" dxfId="538" priority="44" operator="containsText" text="OPEN"/>
    <x:cfRule type="containsText" dxfId="539" priority="45" operator="containsText" text="PENDING"/>
    <x:cfRule type="containsText" dxfId="540" priority="46" operator="containsText" text="SUSPENDED"/>
    <x:cfRule type="containsText" dxfId="541" priority="47" operator="containsText" text="TESTING"/>
    <x:cfRule type="containsText" dxfId="542" priority="48" operator="containsText" text="PARTIAL_FAILURE"/>
    <x:cfRule type="containsText" dxfId="543" priority="49" operator="containsText" text="LOW_STOCK"/>
    <x:cfRule type="containsText" dxfId="544" priority="50" operator="containsText" text="ACTIVE"/>
    <x:cfRule type="containsText" dxfId="545" priority="51" operator="containsText" text="VALID"/>
    <x:cfRule type="containsText" dxfId="546" priority="52" operator="containsText" text="SUCCESS"/>
    <x:cfRule type="containsText" dxfId="547" priority="53" operator="containsText" text="COMPLETED"/>
    <x:cfRule type="containsText" dxfId="548" priority="54" operator="containsText" text="CLOSED"/>
    <x:cfRule type="containsText" dxfId="549" priority="55" operator="containsText" text="CONNECTED"/>
    <x:cfRule type="containsText" dxfId="550" priority="56" operator="containsText" text="NORMAL"/>
    <x:cfRule type="containsText" dxfId="551" priority="57" operator="containsText" text="VERIFIED"/>
    <x:cfRule type="containsText" dxfId="552" priority="58" operator="containsText" text="RESOLVED"/>
    <x:cfRule type="containsText" dxfId="553" priority="59" operator="containsText" text="PASS"/>
    <x:cfRule type="containsText" dxfId="554" priority="60" operator="containsText" text="OK"/>
    <x:cfRule type="containsText" dxfId="555" priority="61" operator="containsText" text="INFO"/>
    <x:cfRule type="containsText" dxfId="556" priority="62" operator="containsText" text="DRAFT"/>
    <x:cfRule type="containsText" dxfId="557" priority="63" operator="containsText" text="SCHEDULED"/>
    <x:cfRule type="containsText" dxfId="558" priority="64" operator="containsText" text="IN_PROGRESS"/>
    <x:cfRule type="containsText" dxfId="559" priority="65" operator="containsText" text="MODEL_REVIEW"/>
    <x:cfRule type="containsText" dxfId="560" priority="66" operator="containsText" text="READ"/>
  </x:conditionalFormatting>
  <x:conditionalFormatting sqref="L5:L28">
    <x:cfRule type="containsText" dxfId="561" priority="67" operator="containsText" text="CRITICAL"/>
    <x:cfRule type="containsText" dxfId="562" priority="68" operator="containsText" text="EXPIRED"/>
    <x:cfRule type="containsText" dxfId="563" priority="69" operator="containsText" text="FAILED"/>
    <x:cfRule type="containsText" dxfId="564" priority="70" operator="containsText" text="OVERDUE"/>
    <x:cfRule type="containsText" dxfId="565" priority="71" operator="containsText" text="REJECTED"/>
    <x:cfRule type="containsText" dxfId="566" priority="72" operator="containsText" text="OUT_OF_SERVICE"/>
    <x:cfRule type="containsText" dxfId="567" priority="73" operator="containsText" text="BELOW_THRESHOLD"/>
    <x:cfRule type="containsText" dxfId="568" priority="74" operator="containsText" text="HIGH"/>
    <x:cfRule type="containsText" dxfId="569" priority="75" operator="containsText" text="WARNING"/>
    <x:cfRule type="containsText" dxfId="570" priority="76" operator="containsText" text="DUE_SOON"/>
    <x:cfRule type="containsText" dxfId="571" priority="77" operator="containsText" text="OPEN"/>
    <x:cfRule type="containsText" dxfId="572" priority="78" operator="containsText" text="PENDING"/>
    <x:cfRule type="containsText" dxfId="573" priority="79" operator="containsText" text="SUSPENDED"/>
    <x:cfRule type="containsText" dxfId="574" priority="80" operator="containsText" text="TESTING"/>
    <x:cfRule type="containsText" dxfId="575" priority="81" operator="containsText" text="PARTIAL_FAILURE"/>
    <x:cfRule type="containsText" dxfId="576" priority="82" operator="containsText" text="LOW_STOCK"/>
    <x:cfRule type="containsText" dxfId="577" priority="83" operator="containsText" text="ACTIVE"/>
    <x:cfRule type="containsText" dxfId="578" priority="84" operator="containsText" text="VALID"/>
    <x:cfRule type="containsText" dxfId="579" priority="85" operator="containsText" text="SUCCESS"/>
    <x:cfRule type="containsText" dxfId="580" priority="86" operator="containsText" text="COMPLETED"/>
    <x:cfRule type="containsText" dxfId="581" priority="87" operator="containsText" text="CLOSED"/>
    <x:cfRule type="containsText" dxfId="582" priority="88" operator="containsText" text="CONNECTED"/>
    <x:cfRule type="containsText" dxfId="583" priority="89" operator="containsText" text="NORMAL"/>
    <x:cfRule type="containsText" dxfId="584" priority="90" operator="containsText" text="VERIFIED"/>
    <x:cfRule type="containsText" dxfId="585" priority="91" operator="containsText" text="RESOLVED"/>
    <x:cfRule type="containsText" dxfId="586" priority="92" operator="containsText" text="PASS"/>
    <x:cfRule type="containsText" dxfId="587" priority="93" operator="containsText" text="OK"/>
    <x:cfRule type="containsText" dxfId="588" priority="94" operator="containsText" text="INFO"/>
    <x:cfRule type="containsText" dxfId="589" priority="95" operator="containsText" text="DRAFT"/>
    <x:cfRule type="containsText" dxfId="590" priority="96" operator="containsText" text="SCHEDULED"/>
    <x:cfRule type="containsText" dxfId="591" priority="97" operator="containsText" text="IN_PROGRESS"/>
    <x:cfRule type="containsText" dxfId="592" priority="98" operator="containsText" text="MODEL_REVIEW"/>
    <x:cfRule type="containsText" dxfId="593" priority="99" operator="containsText" text="READ"/>
  </x:conditionalFormatting>
  <x:dataValidations count="1">
    <x:dataValidation type="list" sqref="F5:F28">
      <x:formula1>"ELIMINATION,SUBSTITUTION,ENGINEERING,ADMINISTRATIVE,PPE"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90bbc716c40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20" hidden="0" customWidth="1"/>
    <x:col min="17" max="17" width="13" hidden="0" customWidth="1"/>
    <x:col min="18" max="18" width="13" hidden="0" customWidth="1"/>
  </x:cols>
  <x:sheetData>
    <x:row r="1" ht="32" customHeight="1">
      <x:c r="A1" s="17" t="str">
        <x:v>ESCA HSE | Permits</x:v>
      </x:c>
      <x:c r="B1" s="17" t="str">
        <x:v>ESCA HSE | Permits</x:v>
      </x:c>
      <x:c r="C1" s="17" t="str">
        <x:v>ESCA HSE | Permits</x:v>
      </x:c>
      <x:c r="D1" s="17" t="str">
        <x:v>ESCA HSE | Permits</x:v>
      </x:c>
      <x:c r="E1" s="17" t="str">
        <x:v>ESCA HSE | Permits</x:v>
      </x:c>
      <x:c r="F1" s="17" t="str">
        <x:v>ESCA HSE | Permits</x:v>
      </x:c>
      <x:c r="G1" s="17" t="str">
        <x:v>ESCA HSE | Permits</x:v>
      </x:c>
      <x:c r="H1" s="17" t="str">
        <x:v>ESCA HSE | Permits</x:v>
      </x:c>
      <x:c r="I1" s="17" t="str">
        <x:v>ESCA HSE | Permits</x:v>
      </x:c>
      <x:c r="J1" s="17" t="str">
        <x:v>ESCA HSE | Permits</x:v>
      </x:c>
      <x:c r="K1" s="17" t="str">
        <x:v>ESCA HSE | Permits</x:v>
      </x:c>
      <x:c r="L1" s="17" t="str">
        <x:v>ESCA HSE | Permits</x:v>
      </x:c>
      <x:c r="M1" s="17" t="str">
        <x:v>ESCA HSE | Permits</x:v>
      </x:c>
      <x:c r="N1" s="17" t="str">
        <x:v>ESCA HSE | Permits</x:v>
      </x:c>
      <x:c r="O1" s="17" t="str">
        <x:v>ESCA HSE | Permits</x:v>
      </x:c>
      <x:c r="P1" s="17" t="str">
        <x:v>ESCA HSE | Permits</x:v>
      </x:c>
      <x:c r="Q1" s="17" t="str">
        <x:v>ESCA HSE | Permits</x:v>
      </x:c>
      <x:c r="R1" s="17" t="str">
        <x:v>ESCA HSE | Permits</x:v>
      </x:c>
    </x:row>
    <x:row r="2" ht="28" customHeight="1">
      <x:c r="A2" s="21" t="str">
        <x:v>Permit-to-work register | Owner: Member 1 | Synthetic sample data | Snapshot: 2026-08-13</x:v>
      </x:c>
      <x:c r="B2" s="21" t="str">
        <x:v>Permit-to-work register | Owner: Member 1 | Synthetic sample data | Snapshot: 2026-08-13</x:v>
      </x:c>
      <x:c r="C2" s="21" t="str">
        <x:v>Permit-to-work register | Owner: Member 1 | Synthetic sample data | Snapshot: 2026-08-13</x:v>
      </x:c>
      <x:c r="D2" s="21" t="str">
        <x:v>Permit-to-work register | Owner: Member 1 | Synthetic sample data | Snapshot: 2026-08-13</x:v>
      </x:c>
      <x:c r="E2" s="21" t="str">
        <x:v>Permit-to-work register | Owner: Member 1 | Synthetic sample data | Snapshot: 2026-08-13</x:v>
      </x:c>
      <x:c r="F2" s="21" t="str">
        <x:v>Permit-to-work register | Owner: Member 1 | Synthetic sample data | Snapshot: 2026-08-13</x:v>
      </x:c>
      <x:c r="G2" s="21" t="str">
        <x:v>Permit-to-work register | Owner: Member 1 | Synthetic sample data | Snapshot: 2026-08-13</x:v>
      </x:c>
      <x:c r="H2" s="21" t="str">
        <x:v>Permit-to-work register | Owner: Member 1 | Synthetic sample data | Snapshot: 2026-08-13</x:v>
      </x:c>
      <x:c r="I2" s="21" t="str">
        <x:v>Permit-to-work register | Owner: Member 1 | Synthetic sample data | Snapshot: 2026-08-13</x:v>
      </x:c>
      <x:c r="J2" s="21" t="str">
        <x:v>Permit-to-work register | Owner: Member 1 | Synthetic sample data | Snapshot: 2026-08-13</x:v>
      </x:c>
      <x:c r="K2" s="21" t="str">
        <x:v>Permit-to-work register | Owner: Member 1 | Synthetic sample data | Snapshot: 2026-08-13</x:v>
      </x:c>
      <x:c r="L2" s="21" t="str">
        <x:v>Permit-to-work register | Owner: Member 1 | Synthetic sample data | Snapshot: 2026-08-13</x:v>
      </x:c>
      <x:c r="M2" s="21" t="str">
        <x:v>Permit-to-work register | Owner: Member 1 | Synthetic sample data | Snapshot: 2026-08-13</x:v>
      </x:c>
      <x:c r="N2" s="21" t="str">
        <x:v>Permit-to-work register | Owner: Member 1 | Synthetic sample data | Snapshot: 2026-08-13</x:v>
      </x:c>
      <x:c r="O2" s="21" t="str">
        <x:v>Permit-to-work register | Owner: Member 1 | Synthetic sample data | Snapshot: 2026-08-13</x:v>
      </x:c>
      <x:c r="P2" s="21" t="str">
        <x:v>Permit-to-work register | Owner: Member 1 | Synthetic sample data | Snapshot: 2026-08-13</x:v>
      </x:c>
      <x:c r="Q2" s="21" t="str">
        <x:v>Permit-to-work register | Owner: Member 1 | Synthetic sample data | Snapshot: 2026-08-13</x:v>
      </x:c>
      <x:c r="R2" s="21" t="str">
        <x:v>Permit-to-work register | Owner: Member 1 | Synthetic sample data | Snapshot: 2026-08-13</x:v>
      </x:c>
    </x:row>
    <x:row r="4" ht="30" customHeight="1">
      <x:c r="A4" s="26" t="str">
        <x:v>permit_id</x:v>
      </x:c>
      <x:c r="B4" s="26" t="str">
        <x:v>permit_type</x:v>
      </x:c>
      <x:c r="C4" s="26" t="str">
        <x:v>department_id</x:v>
      </x:c>
      <x:c r="D4" s="26" t="str">
        <x:v>zone_id</x:v>
      </x:c>
      <x:c r="E4" s="26" t="str">
        <x:v>work_description</x:v>
      </x:c>
      <x:c r="F4" s="26" t="str">
        <x:v>requester_id</x:v>
      </x:c>
      <x:c r="G4" s="26" t="str">
        <x:v>issuer_id</x:v>
      </x:c>
      <x:c r="H4" s="26" t="str">
        <x:v>executor_type</x:v>
      </x:c>
      <x:c r="I4" s="26" t="str">
        <x:v>executor_name</x:v>
      </x:c>
      <x:c r="J4" s="26" t="str">
        <x:v>start_at</x:v>
      </x:c>
      <x:c r="K4" s="26" t="str">
        <x:v>expiry_at</x:v>
      </x:c>
      <x:c r="L4" s="26" t="str">
        <x:v>risk_level</x:v>
      </x:c>
      <x:c r="M4" s="26" t="str">
        <x:v>jsa_id</x:v>
      </x:c>
      <x:c r="N4" s="26" t="str">
        <x:v>status</x:v>
      </x:c>
      <x:c r="O4" s="26" t="str">
        <x:v>suspended_reason</x:v>
      </x:c>
      <x:c r="P4" s="26" t="str">
        <x:v>actual_close_at</x:v>
      </x:c>
      <x:c r="Q4" s="26" t="str">
        <x:v>hours_to_expiry</x:v>
      </x:c>
      <x:c r="R4" s="26" t="str">
        <x:v>automation_flag</x:v>
      </x:c>
    </x:row>
    <x:row r="5" ht="24" customHeight="1">
      <x:c r="A5" s="31" t="str">
        <x:v>PTW-2026-0412</x:v>
      </x:c>
      <x:c r="B5" s="31" t="str">
        <x:v>HOT_WORK</x:v>
      </x:c>
      <x:c r="C5" s="31" t="str">
        <x:v>DEP-MAINT</x:v>
      </x:c>
      <x:c r="D5" s="31" t="str">
        <x:v>ZN-M01</x:v>
      </x:c>
      <x:c r="E5" s="33" t="str">
        <x:v>Weld machine support frame</x:v>
      </x:c>
      <x:c r="F5" s="31" t="str">
        <x:v>EMP-021</x:v>
      </x:c>
      <x:c r="G5" s="31" t="str">
        <x:v>EMP-010</x:v>
      </x:c>
      <x:c r="H5" s="31" t="str">
        <x:v>INTERNAL</x:v>
      </x:c>
      <x:c r="I5" s="31" t="str">
        <x:v>Maintenance welding team</x:v>
      </x:c>
      <x:c r="J5" s="32" t="n">
        <x:v>46247.208333333336</x:v>
      </x:c>
      <x:c r="K5" s="32" t="n">
        <x:v>46247.458333333336</x:v>
      </x:c>
      <x:c r="L5" s="31" t="str">
        <x:v>HIGH</x:v>
      </x:c>
      <x:c r="M5" s="31" t="str">
        <x:v>JSA-019</x:v>
      </x:c>
      <x:c r="N5" s="31" t="str">
        <x:v>ACTIVE</x:v>
      </x:c>
      <x:c r="O5" s="33"/>
      <x:c r="P5" s="32"/>
      <x:c r="Q5" s="31" t="n">
        <x:f>(K5-'Summary'!$B$4)*24</x:f>
        <x:v>2.0000000000582077</x:v>
      </x:c>
      <x:c r="R5" s="31" t="str">
        <x:f>IF(N5&lt;&gt;"ACTIVE","NO_ACTION",IF(K5&lt;='Summary'!$B$4,"OVERDUE",IF(K5&lt;='Summary'!$B$4+6/24,"DUE_SOON","OK")))</x:f>
        <x:v>DUE_SOON</x:v>
      </x:c>
    </x:row>
    <x:row r="6" ht="24" customHeight="1">
      <x:c r="A6" s="36" t="str">
        <x:v>PTW-2026-0411</x:v>
      </x:c>
      <x:c r="B6" s="36" t="str">
        <x:v>ELECTRICAL</x:v>
      </x:c>
      <x:c r="C6" s="36" t="str">
        <x:v>DEP-UTIL</x:v>
      </x:c>
      <x:c r="D6" s="36" t="str">
        <x:v>ZN-U01</x:v>
      </x:c>
      <x:c r="E6" s="38" t="str">
        <x:v>Replace MV breaker in panel 3</x:v>
      </x:c>
      <x:c r="F6" s="36" t="str">
        <x:v>EMP-026</x:v>
      </x:c>
      <x:c r="G6" s="36" t="str">
        <x:v>EMP-010</x:v>
      </x:c>
      <x:c r="H6" s="36" t="str">
        <x:v>CONTRACTOR</x:v>
      </x:c>
      <x:c r="I6" s="36" t="str">
        <x:v>MV Specialist Contractor</x:v>
      </x:c>
      <x:c r="J6" s="37" t="n">
        <x:v>46247.166666666664</x:v>
      </x:c>
      <x:c r="K6" s="37" t="n">
        <x:v>46247.583333333336</x:v>
      </x:c>
      <x:c r="L6" s="36" t="str">
        <x:v>CRITICAL</x:v>
      </x:c>
      <x:c r="M6" s="36" t="str">
        <x:v>JSA-018</x:v>
      </x:c>
      <x:c r="N6" s="36" t="str">
        <x:v>PENDING_APPROVAL</x:v>
      </x:c>
      <x:c r="O6" s="38"/>
      <x:c r="P6" s="37"/>
      <x:c r="Q6" s="36" t="n">
        <x:f>(K6-'Summary'!$B$4)*24</x:f>
        <x:v>5.000000000058208</x:v>
      </x:c>
      <x:c r="R6" s="36" t="str">
        <x:f>IF(N6&lt;&gt;"ACTIVE","NO_ACTION",IF(K6&lt;='Summary'!$B$4,"OVERDUE",IF(K6&lt;='Summary'!$B$4+6/24,"DUE_SOON","OK")))</x:f>
        <x:v>NO_ACTION</x:v>
      </x:c>
    </x:row>
    <x:row r="7" ht="24" customHeight="1">
      <x:c r="A7" s="36" t="str">
        <x:v>PTW-2026-0410</x:v>
      </x:c>
      <x:c r="B7" s="36" t="str">
        <x:v>WORK_AT_HEIGHT</x:v>
      </x:c>
      <x:c r="C7" s="36" t="str">
        <x:v>DEP-PROD-B</x:v>
      </x:c>
      <x:c r="D7" s="36" t="str">
        <x:v>ZN-B2</x:v>
      </x:c>
      <x:c r="E7" s="38" t="str">
        <x:v>Service upper extraction unit</x:v>
      </x:c>
      <x:c r="F7" s="36" t="str">
        <x:v>EMP-022</x:v>
      </x:c>
      <x:c r="G7" s="36" t="str">
        <x:v>EMP-011</x:v>
      </x:c>
      <x:c r="H7" s="36" t="str">
        <x:v>INTERNAL</x:v>
      </x:c>
      <x:c r="I7" s="36" t="str">
        <x:v>Maintenance team</x:v>
      </x:c>
      <x:c r="J7" s="37" t="n">
        <x:v>46247.25</x:v>
      </x:c>
      <x:c r="K7" s="37" t="n">
        <x:v>46247.416666666664</x:v>
      </x:c>
      <x:c r="L7" s="36" t="str">
        <x:v>HIGH</x:v>
      </x:c>
      <x:c r="M7" s="36" t="str">
        <x:v>JSA-020</x:v>
      </x:c>
      <x:c r="N7" s="36" t="str">
        <x:v>ACTIVE</x:v>
      </x:c>
      <x:c r="O7" s="38"/>
      <x:c r="P7" s="37"/>
      <x:c r="Q7" s="36" t="n">
        <x:f>(K7-'Summary'!$B$4)*24</x:f>
        <x:v>0.9999999999417923</x:v>
      </x:c>
      <x:c r="R7" s="36" t="str">
        <x:f>IF(N7&lt;&gt;"ACTIVE","NO_ACTION",IF(K7&lt;='Summary'!$B$4,"OVERDUE",IF(K7&lt;='Summary'!$B$4+6/24,"DUE_SOON","OK")))</x:f>
        <x:v>DUE_SOON</x:v>
      </x:c>
    </x:row>
    <x:row r="8" ht="24" customHeight="1">
      <x:c r="A8" s="36" t="str">
        <x:v>PTW-2026-0409</x:v>
      </x:c>
      <x:c r="B8" s="36" t="str">
        <x:v>CONFINED_SPACE</x:v>
      </x:c>
      <x:c r="C8" s="36" t="str">
        <x:v>DEP-UTIL</x:v>
      </x:c>
      <x:c r="D8" s="36" t="str">
        <x:v>ZN-U02</x:v>
      </x:c>
      <x:c r="E8" s="38" t="str">
        <x:v>Clean underground water tank</x:v>
      </x:c>
      <x:c r="F8" s="36" t="str">
        <x:v>EMP-027</x:v>
      </x:c>
      <x:c r="G8" s="36" t="str">
        <x:v>EMP-012</x:v>
      </x:c>
      <x:c r="H8" s="36" t="str">
        <x:v>CONTRACTOR</x:v>
      </x:c>
      <x:c r="I8" s="36" t="str">
        <x:v>Confined Space Services</x:v>
      </x:c>
      <x:c r="J8" s="37" t="n">
        <x:v>46247.125</x:v>
      </x:c>
      <x:c r="K8" s="37" t="n">
        <x:v>46247.375</x:v>
      </x:c>
      <x:c r="L8" s="36" t="str">
        <x:v>CRITICAL</x:v>
      </x:c>
      <x:c r="M8" s="36" t="str">
        <x:v>JSA-021</x:v>
      </x:c>
      <x:c r="N8" s="36" t="str">
        <x:v>SUSPENDED</x:v>
      </x:c>
      <x:c r="O8" s="38" t="str">
        <x:v>O2 reading below 19.5%</x:v>
      </x:c>
      <x:c r="P8" s="37"/>
      <x:c r="Q8" s="36" t="n">
        <x:f>(K8-'Summary'!$B$4)*24</x:f>
        <x:v>0</x:v>
      </x:c>
      <x:c r="R8" s="36" t="str">
        <x:f>IF(N8&lt;&gt;"ACTIVE","NO_ACTION",IF(K8&lt;='Summary'!$B$4,"OVERDUE",IF(K8&lt;='Summary'!$B$4+6/24,"DUE_SOON","OK")))</x:f>
        <x:v>NO_ACTION</x:v>
      </x:c>
    </x:row>
    <x:row r="9" ht="24" customHeight="1">
      <x:c r="A9" s="36" t="str">
        <x:v>PTW-2026-0408</x:v>
      </x:c>
      <x:c r="B9" s="36" t="str">
        <x:v>MECHANICAL_LOTO</x:v>
      </x:c>
      <x:c r="C9" s="36" t="str">
        <x:v>DEP-PROD-A</x:v>
      </x:c>
      <x:c r="D9" s="36" t="str">
        <x:v>ZN-A1</x:v>
      </x:c>
      <x:c r="E9" s="38" t="str">
        <x:v>Replace conveyor belt unit 4</x:v>
      </x:c>
      <x:c r="F9" s="36" t="str">
        <x:v>EMP-021</x:v>
      </x:c>
      <x:c r="G9" s="36" t="str">
        <x:v>EMP-010</x:v>
      </x:c>
      <x:c r="H9" s="36" t="str">
        <x:v>INTERNAL</x:v>
      </x:c>
      <x:c r="I9" s="36" t="str">
        <x:v>Maintenance team</x:v>
      </x:c>
      <x:c r="J9" s="37" t="n">
        <x:v>46247.291666666664</x:v>
      </x:c>
      <x:c r="K9" s="37" t="n">
        <x:v>46247.541666666664</x:v>
      </x:c>
      <x:c r="L9" s="36" t="str">
        <x:v>HIGH</x:v>
      </x:c>
      <x:c r="M9" s="36" t="str">
        <x:v>JSA-022</x:v>
      </x:c>
      <x:c r="N9" s="36" t="str">
        <x:v>ACTIVE</x:v>
      </x:c>
      <x:c r="O9" s="38"/>
      <x:c r="P9" s="37"/>
      <x:c r="Q9" s="36" t="n">
        <x:f>(K9-'Summary'!$B$4)*24</x:f>
        <x:v>3.9999999999417923</x:v>
      </x:c>
      <x:c r="R9" s="36" t="str">
        <x:f>IF(N9&lt;&gt;"ACTIVE","NO_ACTION",IF(K9&lt;='Summary'!$B$4,"OVERDUE",IF(K9&lt;='Summary'!$B$4+6/24,"DUE_SOON","OK")))</x:f>
        <x:v>DUE_SOON</x:v>
      </x:c>
    </x:row>
    <x:row r="10" ht="24" customHeight="1">
      <x:c r="A10" s="36" t="str">
        <x:v>PTW-2026-0407</x:v>
      </x:c>
      <x:c r="B10" s="36" t="str">
        <x:v>EXCAVATION</x:v>
      </x:c>
      <x:c r="C10" s="36" t="str">
        <x:v>DEP-UTIL</x:v>
      </x:c>
      <x:c r="D10" s="36" t="str">
        <x:v>ZN-U01</x:v>
      </x:c>
      <x:c r="E10" s="38" t="str">
        <x:v>Route new feeder cable</x:v>
      </x:c>
      <x:c r="F10" s="36" t="str">
        <x:v>EMP-006</x:v>
      </x:c>
      <x:c r="G10" s="36" t="str">
        <x:v>EMP-011</x:v>
      </x:c>
      <x:c r="H10" s="36" t="str">
        <x:v>CONTRACTOR</x:v>
      </x:c>
      <x:c r="I10" s="36" t="str">
        <x:v>Civil Contractor A</x:v>
      </x:c>
      <x:c r="J10" s="37" t="n">
        <x:v>46247.208333333336</x:v>
      </x:c>
      <x:c r="K10" s="37" t="n">
        <x:v>46247.458333333336</x:v>
      </x:c>
      <x:c r="L10" s="36" t="str">
        <x:v>HIGH</x:v>
      </x:c>
      <x:c r="M10" s="36"/>
      <x:c r="N10" s="36" t="str">
        <x:v>ACTIVE</x:v>
      </x:c>
      <x:c r="O10" s="38"/>
      <x:c r="P10" s="37"/>
      <x:c r="Q10" s="36" t="n">
        <x:f>(K10-'Summary'!$B$4)*24</x:f>
        <x:v>2.0000000000582077</x:v>
      </x:c>
      <x:c r="R10" s="36" t="str">
        <x:f>IF(N10&lt;&gt;"ACTIVE","NO_ACTION",IF(K10&lt;='Summary'!$B$4,"OVERDUE",IF(K10&lt;='Summary'!$B$4+6/24,"DUE_SOON","OK")))</x:f>
        <x:v>DUE_SOON</x:v>
      </x:c>
    </x:row>
    <x:row r="11" ht="24" customHeight="1">
      <x:c r="A11" s="36" t="str">
        <x:v>PTW-2026-0406</x:v>
      </x:c>
      <x:c r="B11" s="36" t="str">
        <x:v>HOT_WORK</x:v>
      </x:c>
      <x:c r="C11" s="36" t="str">
        <x:v>DEP-MAINT</x:v>
      </x:c>
      <x:c r="D11" s="36" t="str">
        <x:v>ZN-M01</x:v>
      </x:c>
      <x:c r="E11" s="38" t="str">
        <x:v>Repair trolley frame</x:v>
      </x:c>
      <x:c r="F11" s="36" t="str">
        <x:v>EMP-032</x:v>
      </x:c>
      <x:c r="G11" s="36" t="str">
        <x:v>EMP-010</x:v>
      </x:c>
      <x:c r="H11" s="36" t="str">
        <x:v>INTERNAL</x:v>
      </x:c>
      <x:c r="I11" s="36" t="str">
        <x:v>Maintenance team</x:v>
      </x:c>
      <x:c r="J11" s="37" t="n">
        <x:v>46246.208333333336</x:v>
      </x:c>
      <x:c r="K11" s="37" t="n">
        <x:v>46246.5</x:v>
      </x:c>
      <x:c r="L11" s="36" t="str">
        <x:v>HIGH</x:v>
      </x:c>
      <x:c r="M11" s="36" t="str">
        <x:v>JSA-019</x:v>
      </x:c>
      <x:c r="N11" s="36" t="str">
        <x:v>ACTIVE</x:v>
      </x:c>
      <x:c r="O11" s="38"/>
      <x:c r="P11" s="37"/>
      <x:c r="Q11" s="36" t="n">
        <x:f>(K11-'Summary'!$B$4)*24</x:f>
        <x:v>-21</x:v>
      </x:c>
      <x:c r="R11" s="36" t="str">
        <x:f>IF(N11&lt;&gt;"ACTIVE","NO_ACTION",IF(K11&lt;='Summary'!$B$4,"OVERDUE",IF(K11&lt;='Summary'!$B$4+6/24,"DUE_SOON","OK")))</x:f>
        <x:v>OVERDUE</x:v>
      </x:c>
    </x:row>
    <x:row r="12" ht="24" customHeight="1">
      <x:c r="A12" s="36" t="str">
        <x:v>PTW-2026-0405</x:v>
      </x:c>
      <x:c r="B12" s="36" t="str">
        <x:v>ELECTRICAL</x:v>
      </x:c>
      <x:c r="C12" s="36" t="str">
        <x:v>DEP-PROD-B</x:v>
      </x:c>
      <x:c r="D12" s="36" t="str">
        <x:v>ZN-B1</x:v>
      </x:c>
      <x:c r="E12" s="38" t="str">
        <x:v>Inspect control panel</x:v>
      </x:c>
      <x:c r="F12" s="36" t="str">
        <x:v>EMP-022</x:v>
      </x:c>
      <x:c r="G12" s="36" t="str">
        <x:v>EMP-012</x:v>
      </x:c>
      <x:c r="H12" s="36" t="str">
        <x:v>INTERNAL</x:v>
      </x:c>
      <x:c r="I12" s="36" t="str">
        <x:v>Electrical maintenance</x:v>
      </x:c>
      <x:c r="J12" s="37" t="n">
        <x:v>46246.166666666664</x:v>
      </x:c>
      <x:c r="K12" s="37" t="n">
        <x:v>46246.333333333336</x:v>
      </x:c>
      <x:c r="L12" s="36" t="str">
        <x:v>MEDIUM</x:v>
      </x:c>
      <x:c r="M12" s="36" t="str">
        <x:v>JSA-018</x:v>
      </x:c>
      <x:c r="N12" s="36" t="str">
        <x:v>CLOSED</x:v>
      </x:c>
      <x:c r="O12" s="38"/>
      <x:c r="P12" s="37" t="n">
        <x:v>46246.319444444445</x:v>
      </x:c>
      <x:c r="Q12" s="36" t="n">
        <x:f>(K12-'Summary'!$B$4)*24</x:f>
        <x:v>-24.999999999941792</x:v>
      </x:c>
      <x:c r="R12" s="36" t="str">
        <x:f>IF(N12&lt;&gt;"ACTIVE","NO_ACTION",IF(K12&lt;='Summary'!$B$4,"OVERDUE",IF(K12&lt;='Summary'!$B$4+6/24,"DUE_SOON","OK")))</x:f>
        <x:v>NO_ACTION</x:v>
      </x:c>
    </x:row>
    <x:row r="13" ht="24" customHeight="1">
      <x:c r="A13" s="36" t="str">
        <x:v>PTW-2026-0404</x:v>
      </x:c>
      <x:c r="B13" s="36" t="str">
        <x:v>WORK_AT_HEIGHT</x:v>
      </x:c>
      <x:c r="C13" s="36" t="str">
        <x:v>DEP-UTIL</x:v>
      </x:c>
      <x:c r="D13" s="36" t="str">
        <x:v>ZN-U01</x:v>
      </x:c>
      <x:c r="E13" s="38" t="str">
        <x:v>Inspect roof cable supports</x:v>
      </x:c>
      <x:c r="F13" s="36" t="str">
        <x:v>EMP-026</x:v>
      </x:c>
      <x:c r="G13" s="36" t="str">
        <x:v>EMP-011</x:v>
      </x:c>
      <x:c r="H13" s="36" t="str">
        <x:v>INTERNAL</x:v>
      </x:c>
      <x:c r="I13" s="36" t="str">
        <x:v>Utilities team</x:v>
      </x:c>
      <x:c r="J13" s="37" t="n">
        <x:v>46248.208333333336</x:v>
      </x:c>
      <x:c r="K13" s="37" t="n">
        <x:v>46248.375</x:v>
      </x:c>
      <x:c r="L13" s="36" t="str">
        <x:v>HIGH</x:v>
      </x:c>
      <x:c r="M13" s="36" t="str">
        <x:v>JSA-024</x:v>
      </x:c>
      <x:c r="N13" s="36" t="str">
        <x:v>DRAFT</x:v>
      </x:c>
      <x:c r="O13" s="38"/>
      <x:c r="P13" s="37"/>
      <x:c r="Q13" s="36" t="n">
        <x:f>(K13-'Summary'!$B$4)*24</x:f>
        <x:v>24</x:v>
      </x:c>
      <x:c r="R13" s="36" t="str">
        <x:f>IF(N13&lt;&gt;"ACTIVE","NO_ACTION",IF(K13&lt;='Summary'!$B$4,"OVERDUE",IF(K13&lt;='Summary'!$B$4+6/24,"DUE_SOON","OK")))</x:f>
        <x:v>NO_ACTION</x:v>
      </x:c>
    </x:row>
    <x:row r="14" ht="24" customHeight="1">
      <x:c r="A14" s="36" t="str">
        <x:v>PTW-2026-0403</x:v>
      </x:c>
      <x:c r="B14" s="36" t="str">
        <x:v>HOT_WORK</x:v>
      </x:c>
      <x:c r="C14" s="36" t="str">
        <x:v>DEP-WH</x:v>
      </x:c>
      <x:c r="D14" s="36" t="str">
        <x:v>ZN-CHEM</x:v>
      </x:c>
      <x:c r="E14" s="38" t="str">
        <x:v>Weld rack near chemical store</x:v>
      </x:c>
      <x:c r="F14" s="36" t="str">
        <x:v>EMP-029</x:v>
      </x:c>
      <x:c r="G14" s="36" t="str">
        <x:v>EMP-010</x:v>
      </x:c>
      <x:c r="H14" s="36" t="str">
        <x:v>CONTRACTOR</x:v>
      </x:c>
      <x:c r="I14" s="36" t="str">
        <x:v>External Welding Team</x:v>
      </x:c>
      <x:c r="J14" s="37" t="n">
        <x:v>46247.291666666664</x:v>
      </x:c>
      <x:c r="K14" s="37" t="n">
        <x:v>46247.5</x:v>
      </x:c>
      <x:c r="L14" s="36" t="str">
        <x:v>CRITICAL</x:v>
      </x:c>
      <x:c r="M14" s="36" t="str">
        <x:v>JSA-019</x:v>
      </x:c>
      <x:c r="N14" s="36" t="str">
        <x:v>REJECTED</x:v>
      </x:c>
      <x:c r="O14" s="38" t="str">
        <x:v>SIMOPS conflict with flammable chemical handling</x:v>
      </x:c>
      <x:c r="P14" s="37"/>
      <x:c r="Q14" s="36" t="n">
        <x:f>(K14-'Summary'!$B$4)*24</x:f>
        <x:v>3</x:v>
      </x:c>
      <x:c r="R14" s="36" t="str">
        <x:f>IF(N14&lt;&gt;"ACTIVE","NO_ACTION",IF(K14&lt;='Summary'!$B$4,"OVERDUE",IF(K14&lt;='Summary'!$B$4+6/24,"DUE_SOON","OK")))</x:f>
        <x:v>NO_ACTION</x:v>
      </x:c>
    </x:row>
    <x:row r="15" ht="24" customHeight="1">
      <x:c r="A15" s="36" t="str">
        <x:v>PTW-2026-0402</x:v>
      </x:c>
      <x:c r="B15" s="36" t="str">
        <x:v>CONFINED_SPACE</x:v>
      </x:c>
      <x:c r="C15" s="36" t="str">
        <x:v>DEP-UTIL</x:v>
      </x:c>
      <x:c r="D15" s="36" t="str">
        <x:v>ZN-U02</x:v>
      </x:c>
      <x:c r="E15" s="38" t="str">
        <x:v>Tank inspection</x:v>
      </x:c>
      <x:c r="F15" s="36" t="str">
        <x:v>EMP-027</x:v>
      </x:c>
      <x:c r="G15" s="36" t="str">
        <x:v>EMP-012</x:v>
      </x:c>
      <x:c r="H15" s="36" t="str">
        <x:v>CONTRACTOR</x:v>
      </x:c>
      <x:c r="I15" s="36" t="str">
        <x:v>Confined Space Services</x:v>
      </x:c>
      <x:c r="J15" s="37" t="n">
        <x:v>46244.125</x:v>
      </x:c>
      <x:c r="K15" s="37" t="n">
        <x:v>46244.375</x:v>
      </x:c>
      <x:c r="L15" s="36" t="str">
        <x:v>CRITICAL</x:v>
      </x:c>
      <x:c r="M15" s="36" t="str">
        <x:v>JSA-021</x:v>
      </x:c>
      <x:c r="N15" s="36" t="str">
        <x:v>EXPIRED</x:v>
      </x:c>
      <x:c r="O15" s="38"/>
      <x:c r="P15" s="37"/>
      <x:c r="Q15" s="36" t="n">
        <x:f>(K15-'Summary'!$B$4)*24</x:f>
        <x:v>-72</x:v>
      </x:c>
      <x:c r="R15" s="36" t="str">
        <x:f>IF(N15&lt;&gt;"ACTIVE","NO_ACTION",IF(K15&lt;='Summary'!$B$4,"OVERDUE",IF(K15&lt;='Summary'!$B$4+6/24,"DUE_SOON","OK")))</x:f>
        <x:v>NO_ACTION</x:v>
      </x:c>
    </x:row>
    <x:row r="16" ht="24" customHeight="1">
      <x:c r="A16" s="41" t="str">
        <x:v>PTW-2026-0401</x:v>
      </x:c>
      <x:c r="B16" s="41" t="str">
        <x:v>MECHANICAL_LOTO</x:v>
      </x:c>
      <x:c r="C16" s="41" t="str">
        <x:v>DEP-PROD-A</x:v>
      </x:c>
      <x:c r="D16" s="41" t="str">
        <x:v>ZN-A2</x:v>
      </x:c>
      <x:c r="E16" s="43" t="str">
        <x:v>Injection machine preventive maintenance</x:v>
      </x:c>
      <x:c r="F16" s="41" t="str">
        <x:v>EMP-021</x:v>
      </x:c>
      <x:c r="G16" s="41" t="str">
        <x:v>EMP-010</x:v>
      </x:c>
      <x:c r="H16" s="41" t="str">
        <x:v>INTERNAL</x:v>
      </x:c>
      <x:c r="I16" s="41" t="str">
        <x:v>Maintenance team</x:v>
      </x:c>
      <x:c r="J16" s="42" t="n">
        <x:v>46243.208333333336</x:v>
      </x:c>
      <x:c r="K16" s="42" t="n">
        <x:v>46243.541666666664</x:v>
      </x:c>
      <x:c r="L16" s="41" t="str">
        <x:v>HIGH</x:v>
      </x:c>
      <x:c r="M16" s="41" t="str">
        <x:v>JSA-022</x:v>
      </x:c>
      <x:c r="N16" s="41" t="str">
        <x:v>CANCELLED</x:v>
      </x:c>
      <x:c r="O16" s="43" t="str">
        <x:v>Production plan changed</x:v>
      </x:c>
      <x:c r="P16" s="42"/>
      <x:c r="Q16" s="41" t="n">
        <x:f>(K16-'Summary'!$B$4)*24</x:f>
        <x:v>-92.00000000005821</x:v>
      </x:c>
      <x:c r="R16" s="41" t="str">
        <x:f>IF(N16&lt;&gt;"ACTIVE","NO_ACTION",IF(K16&lt;='Summary'!$B$4,"OVERDUE",IF(K16&lt;='Summary'!$B$4+6/24,"DUE_SOON","OK")))</x:f>
        <x:v>NO_ACTION</x:v>
      </x:c>
    </x:row>
  </x:sheetData>
  <x:mergeCells>
    <x:mergeCell ref="A1:R1"/>
    <x:mergeCell ref="A2:R2"/>
  </x:mergeCells>
  <x:conditionalFormatting sqref="L5:L16">
    <x:cfRule type="containsText" dxfId="594" priority="1" operator="containsText" text="CRITICAL"/>
    <x:cfRule type="containsText" dxfId="595" priority="2" operator="containsText" text="EXPIRED"/>
    <x:cfRule type="containsText" dxfId="596" priority="3" operator="containsText" text="FAILED"/>
    <x:cfRule type="containsText" dxfId="597" priority="4" operator="containsText" text="OVERDUE"/>
    <x:cfRule type="containsText" dxfId="598" priority="5" operator="containsText" text="REJECTED"/>
    <x:cfRule type="containsText" dxfId="599" priority="6" operator="containsText" text="OUT_OF_SERVICE"/>
    <x:cfRule type="containsText" dxfId="600" priority="7" operator="containsText" text="BELOW_THRESHOLD"/>
    <x:cfRule type="containsText" dxfId="601" priority="8" operator="containsText" text="HIGH"/>
    <x:cfRule type="containsText" dxfId="602" priority="9" operator="containsText" text="WARNING"/>
    <x:cfRule type="containsText" dxfId="603" priority="10" operator="containsText" text="DUE_SOON"/>
    <x:cfRule type="containsText" dxfId="604" priority="11" operator="containsText" text="OPEN"/>
    <x:cfRule type="containsText" dxfId="605" priority="12" operator="containsText" text="PENDING"/>
    <x:cfRule type="containsText" dxfId="606" priority="13" operator="containsText" text="SUSPENDED"/>
    <x:cfRule type="containsText" dxfId="607" priority="14" operator="containsText" text="TESTING"/>
    <x:cfRule type="containsText" dxfId="608" priority="15" operator="containsText" text="PARTIAL_FAILURE"/>
    <x:cfRule type="containsText" dxfId="609" priority="16" operator="containsText" text="LOW_STOCK"/>
    <x:cfRule type="containsText" dxfId="610" priority="17" operator="containsText" text="ACTIVE"/>
    <x:cfRule type="containsText" dxfId="611" priority="18" operator="containsText" text="VALID"/>
    <x:cfRule type="containsText" dxfId="612" priority="19" operator="containsText" text="SUCCESS"/>
    <x:cfRule type="containsText" dxfId="613" priority="20" operator="containsText" text="COMPLETED"/>
    <x:cfRule type="containsText" dxfId="614" priority="21" operator="containsText" text="CLOSED"/>
    <x:cfRule type="containsText" dxfId="615" priority="22" operator="containsText" text="CONNECTED"/>
    <x:cfRule type="containsText" dxfId="616" priority="23" operator="containsText" text="NORMAL"/>
    <x:cfRule type="containsText" dxfId="617" priority="24" operator="containsText" text="VERIFIED"/>
    <x:cfRule type="containsText" dxfId="618" priority="25" operator="containsText" text="RESOLVED"/>
    <x:cfRule type="containsText" dxfId="619" priority="26" operator="containsText" text="PASS"/>
    <x:cfRule type="containsText" dxfId="620" priority="27" operator="containsText" text="OK"/>
    <x:cfRule type="containsText" dxfId="621" priority="28" operator="containsText" text="INFO"/>
    <x:cfRule type="containsText" dxfId="622" priority="29" operator="containsText" text="DRAFT"/>
    <x:cfRule type="containsText" dxfId="623" priority="30" operator="containsText" text="SCHEDULED"/>
    <x:cfRule type="containsText" dxfId="624" priority="31" operator="containsText" text="IN_PROGRESS"/>
    <x:cfRule type="containsText" dxfId="625" priority="32" operator="containsText" text="MODEL_REVIEW"/>
    <x:cfRule type="containsText" dxfId="626" priority="33" operator="containsText" text="READ"/>
  </x:conditionalFormatting>
  <x:conditionalFormatting sqref="N5:N16">
    <x:cfRule type="containsText" dxfId="627" priority="34" operator="containsText" text="CRITICAL"/>
    <x:cfRule type="containsText" dxfId="628" priority="35" operator="containsText" text="EXPIRED"/>
    <x:cfRule type="containsText" dxfId="629" priority="36" operator="containsText" text="FAILED"/>
    <x:cfRule type="containsText" dxfId="630" priority="37" operator="containsText" text="OVERDUE"/>
    <x:cfRule type="containsText" dxfId="631" priority="38" operator="containsText" text="REJECTED"/>
    <x:cfRule type="containsText" dxfId="632" priority="39" operator="containsText" text="OUT_OF_SERVICE"/>
    <x:cfRule type="containsText" dxfId="633" priority="40" operator="containsText" text="BELOW_THRESHOLD"/>
    <x:cfRule type="containsText" dxfId="634" priority="41" operator="containsText" text="HIGH"/>
    <x:cfRule type="containsText" dxfId="635" priority="42" operator="containsText" text="WARNING"/>
    <x:cfRule type="containsText" dxfId="636" priority="43" operator="containsText" text="DUE_SOON"/>
    <x:cfRule type="containsText" dxfId="637" priority="44" operator="containsText" text="OPEN"/>
    <x:cfRule type="containsText" dxfId="638" priority="45" operator="containsText" text="PENDING"/>
    <x:cfRule type="containsText" dxfId="639" priority="46" operator="containsText" text="SUSPENDED"/>
    <x:cfRule type="containsText" dxfId="640" priority="47" operator="containsText" text="TESTING"/>
    <x:cfRule type="containsText" dxfId="641" priority="48" operator="containsText" text="PARTIAL_FAILURE"/>
    <x:cfRule type="containsText" dxfId="642" priority="49" operator="containsText" text="LOW_STOCK"/>
    <x:cfRule type="containsText" dxfId="643" priority="50" operator="containsText" text="ACTIVE"/>
    <x:cfRule type="containsText" dxfId="644" priority="51" operator="containsText" text="VALID"/>
    <x:cfRule type="containsText" dxfId="645" priority="52" operator="containsText" text="SUCCESS"/>
    <x:cfRule type="containsText" dxfId="646" priority="53" operator="containsText" text="COMPLETED"/>
    <x:cfRule type="containsText" dxfId="647" priority="54" operator="containsText" text="CLOSED"/>
    <x:cfRule type="containsText" dxfId="648" priority="55" operator="containsText" text="CONNECTED"/>
    <x:cfRule type="containsText" dxfId="649" priority="56" operator="containsText" text="NORMAL"/>
    <x:cfRule type="containsText" dxfId="650" priority="57" operator="containsText" text="VERIFIED"/>
    <x:cfRule type="containsText" dxfId="651" priority="58" operator="containsText" text="RESOLVED"/>
    <x:cfRule type="containsText" dxfId="652" priority="59" operator="containsText" text="PASS"/>
    <x:cfRule type="containsText" dxfId="653" priority="60" operator="containsText" text="OK"/>
    <x:cfRule type="containsText" dxfId="654" priority="61" operator="containsText" text="INFO"/>
    <x:cfRule type="containsText" dxfId="655" priority="62" operator="containsText" text="DRAFT"/>
    <x:cfRule type="containsText" dxfId="656" priority="63" operator="containsText" text="SCHEDULED"/>
    <x:cfRule type="containsText" dxfId="657" priority="64" operator="containsText" text="IN_PROGRESS"/>
    <x:cfRule type="containsText" dxfId="658" priority="65" operator="containsText" text="MODEL_REVIEW"/>
    <x:cfRule type="containsText" dxfId="659" priority="66" operator="containsText" text="READ"/>
  </x:conditionalFormatting>
  <x:conditionalFormatting sqref="R5:R16">
    <x:cfRule type="containsText" dxfId="660" priority="67" operator="containsText" text="CRITICAL"/>
    <x:cfRule type="containsText" dxfId="661" priority="68" operator="containsText" text="EXPIRED"/>
    <x:cfRule type="containsText" dxfId="662" priority="69" operator="containsText" text="FAILED"/>
    <x:cfRule type="containsText" dxfId="663" priority="70" operator="containsText" text="OVERDUE"/>
    <x:cfRule type="containsText" dxfId="664" priority="71" operator="containsText" text="REJECTED"/>
    <x:cfRule type="containsText" dxfId="665" priority="72" operator="containsText" text="OUT_OF_SERVICE"/>
    <x:cfRule type="containsText" dxfId="666" priority="73" operator="containsText" text="BELOW_THRESHOLD"/>
    <x:cfRule type="containsText" dxfId="667" priority="74" operator="containsText" text="HIGH"/>
    <x:cfRule type="containsText" dxfId="668" priority="75" operator="containsText" text="WARNING"/>
    <x:cfRule type="containsText" dxfId="669" priority="76" operator="containsText" text="DUE_SOON"/>
    <x:cfRule type="containsText" dxfId="670" priority="77" operator="containsText" text="OPEN"/>
    <x:cfRule type="containsText" dxfId="671" priority="78" operator="containsText" text="PENDING"/>
    <x:cfRule type="containsText" dxfId="672" priority="79" operator="containsText" text="SUSPENDED"/>
    <x:cfRule type="containsText" dxfId="673" priority="80" operator="containsText" text="TESTING"/>
    <x:cfRule type="containsText" dxfId="674" priority="81" operator="containsText" text="PARTIAL_FAILURE"/>
    <x:cfRule type="containsText" dxfId="675" priority="82" operator="containsText" text="LOW_STOCK"/>
    <x:cfRule type="containsText" dxfId="676" priority="83" operator="containsText" text="ACTIVE"/>
    <x:cfRule type="containsText" dxfId="677" priority="84" operator="containsText" text="VALID"/>
    <x:cfRule type="containsText" dxfId="678" priority="85" operator="containsText" text="SUCCESS"/>
    <x:cfRule type="containsText" dxfId="679" priority="86" operator="containsText" text="COMPLETED"/>
    <x:cfRule type="containsText" dxfId="680" priority="87" operator="containsText" text="CLOSED"/>
    <x:cfRule type="containsText" dxfId="681" priority="88" operator="containsText" text="CONNECTED"/>
    <x:cfRule type="containsText" dxfId="682" priority="89" operator="containsText" text="NORMAL"/>
    <x:cfRule type="containsText" dxfId="683" priority="90" operator="containsText" text="VERIFIED"/>
    <x:cfRule type="containsText" dxfId="684" priority="91" operator="containsText" text="RESOLVED"/>
    <x:cfRule type="containsText" dxfId="685" priority="92" operator="containsText" text="PASS"/>
    <x:cfRule type="containsText" dxfId="686" priority="93" operator="containsText" text="OK"/>
    <x:cfRule type="containsText" dxfId="687" priority="94" operator="containsText" text="INFO"/>
    <x:cfRule type="containsText" dxfId="688" priority="95" operator="containsText" text="DRAFT"/>
    <x:cfRule type="containsText" dxfId="689" priority="96" operator="containsText" text="SCHEDULED"/>
    <x:cfRule type="containsText" dxfId="690" priority="97" operator="containsText" text="IN_PROGRESS"/>
    <x:cfRule type="containsText" dxfId="691" priority="98" operator="containsText" text="MODEL_REVIEW"/>
    <x:cfRule type="containsText" dxfId="692" priority="99" operator="containsText" text="READ"/>
  </x:conditionalFormatting>
  <x:dataValidations count="4">
    <x:dataValidation type="list" sqref="B5:B16">
      <x:formula1>"HOT_WORK,ELECTRICAL,WORK_AT_HEIGHT,CONFINED_SPACE,MECHANICAL_LOTO,EXCAVATION,RADIOGRAPHY"</x:formula1>
    </x:dataValidation>
    <x:dataValidation type="list" sqref="H5:H16">
      <x:formula1>"INTERNAL,CONTRACTOR"</x:formula1>
    </x:dataValidation>
    <x:dataValidation type="list" sqref="L5:L16">
      <x:formula1>"LOW,MEDIUM,HIGH,CRITICAL"</x:formula1>
    </x:dataValidation>
    <x:dataValidation type="list" sqref="N5:N16">
      <x:formula1>"DRAFT,PENDING_APPROVAL,ACTIVE,SUSPENDED,EXPIRED,CLOSED,CANCELLED,REJECTED"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5d4b03ca514f3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32" customHeight="1">
      <x:c r="A1" s="17" t="str">
        <x:v>ESCA HSE | Permit_Approvals</x:v>
      </x:c>
      <x:c r="B1" s="17" t="str">
        <x:v>ESCA HSE | Permit_Approvals</x:v>
      </x:c>
      <x:c r="C1" s="17" t="str">
        <x:v>ESCA HSE | Permit_Approvals</x:v>
      </x:c>
      <x:c r="D1" s="17" t="str">
        <x:v>ESCA HSE | Permit_Approvals</x:v>
      </x:c>
      <x:c r="E1" s="17" t="str">
        <x:v>ESCA HSE | Permit_Approvals</x:v>
      </x:c>
      <x:c r="F1" s="17" t="str">
        <x:v>ESCA HSE | Permit_Approvals</x:v>
      </x:c>
      <x:c r="G1" s="17" t="str">
        <x:v>ESCA HSE | Permit_Approvals</x:v>
      </x:c>
      <x:c r="H1" s="17" t="str">
        <x:v>ESCA HSE | Permit_Approvals</x:v>
      </x:c>
      <x:c r="I1" s="17" t="str">
        <x:v>ESCA HSE | Permit_Approvals</x:v>
      </x:c>
      <x:c r="J1" s="17" t="str">
        <x:v>ESCA HSE | Permit_Approvals</x:v>
      </x:c>
    </x:row>
    <x:row r="2" ht="28" customHeight="1">
      <x:c r="A2" s="21" t="str">
        <x:v>PTW workflow and signatures | Owner: Member 1 | Synthetic sample data | Snapshot: 2026-08-13</x:v>
      </x:c>
      <x:c r="B2" s="21" t="str">
        <x:v>PTW workflow and signatures | Owner: Member 1 | Synthetic sample data | Snapshot: 2026-08-13</x:v>
      </x:c>
      <x:c r="C2" s="21" t="str">
        <x:v>PTW workflow and signatures | Owner: Member 1 | Synthetic sample data | Snapshot: 2026-08-13</x:v>
      </x:c>
      <x:c r="D2" s="21" t="str">
        <x:v>PTW workflow and signatures | Owner: Member 1 | Synthetic sample data | Snapshot: 2026-08-13</x:v>
      </x:c>
      <x:c r="E2" s="21" t="str">
        <x:v>PTW workflow and signatures | Owner: Member 1 | Synthetic sample data | Snapshot: 2026-08-13</x:v>
      </x:c>
      <x:c r="F2" s="21" t="str">
        <x:v>PTW workflow and signatures | Owner: Member 1 | Synthetic sample data | Snapshot: 2026-08-13</x:v>
      </x:c>
      <x:c r="G2" s="21" t="str">
        <x:v>PTW workflow and signatures | Owner: Member 1 | Synthetic sample data | Snapshot: 2026-08-13</x:v>
      </x:c>
      <x:c r="H2" s="21" t="str">
        <x:v>PTW workflow and signatures | Owner: Member 1 | Synthetic sample data | Snapshot: 2026-08-13</x:v>
      </x:c>
      <x:c r="I2" s="21" t="str">
        <x:v>PTW workflow and signatures | Owner: Member 1 | Synthetic sample data | Snapshot: 2026-08-13</x:v>
      </x:c>
      <x:c r="J2" s="21" t="str">
        <x:v>PTW workflow and signatures | Owner: Member 1 | Synthetic sample data | Snapshot: 2026-08-13</x:v>
      </x:c>
    </x:row>
    <x:row r="4" ht="30" customHeight="1">
      <x:c r="A4" s="26" t="str">
        <x:v>approval_id</x:v>
      </x:c>
      <x:c r="B4" s="26" t="str">
        <x:v>permit_id</x:v>
      </x:c>
      <x:c r="C4" s="26" t="str">
        <x:v>step_no</x:v>
      </x:c>
      <x:c r="D4" s="26" t="str">
        <x:v>approver_role</x:v>
      </x:c>
      <x:c r="E4" s="26" t="str">
        <x:v>approver_id</x:v>
      </x:c>
      <x:c r="F4" s="26" t="str">
        <x:v>decision</x:v>
      </x:c>
      <x:c r="G4" s="26" t="str">
        <x:v>decided_at</x:v>
      </x:c>
      <x:c r="H4" s="26" t="str">
        <x:v>comments</x:v>
      </x:c>
      <x:c r="I4" s="26" t="str">
        <x:v>signature_hash</x:v>
      </x:c>
      <x:c r="J4" s="26" t="str">
        <x:v>status</x:v>
      </x:c>
    </x:row>
    <x:row r="5" ht="24" customHeight="1">
      <x:c r="A5" s="31" t="str">
        <x:v>APR-001</x:v>
      </x:c>
      <x:c r="B5" s="31" t="str">
        <x:v>PTW-2026-0412</x:v>
      </x:c>
      <x:c r="C5" s="34" t="n">
        <x:v>1</x:v>
      </x:c>
      <x:c r="D5" s="31" t="str">
        <x:v>REQUESTER</x:v>
      </x:c>
      <x:c r="E5" s="31" t="str">
        <x:v>EMP-021</x:v>
      </x:c>
      <x:c r="F5" s="31" t="str">
        <x:v>APPROVED</x:v>
      </x:c>
      <x:c r="G5" s="32" t="n">
        <x:v>46247.15625</x:v>
      </x:c>
      <x:c r="H5" s="33" t="str">
        <x:v>Checklist reviewed</x:v>
      </x:c>
      <x:c r="I5" s="31" t="str">
        <x:v>sha256-demo-PTW-2026-0412-1</x:v>
      </x:c>
      <x:c r="J5" s="31" t="str">
        <x:v>COMPLETED</x:v>
      </x:c>
    </x:row>
    <x:row r="6" ht="24" customHeight="1">
      <x:c r="A6" s="36" t="str">
        <x:v>APR-002</x:v>
      </x:c>
      <x:c r="B6" s="36" t="str">
        <x:v>PTW-2026-0412</x:v>
      </x:c>
      <x:c r="C6" s="39" t="n">
        <x:v>2</x:v>
      </x:c>
      <x:c r="D6" s="36" t="str">
        <x:v>AREA_SUPERVISOR</x:v>
      </x:c>
      <x:c r="E6" s="36" t="str">
        <x:v>EMP-015</x:v>
      </x:c>
      <x:c r="F6" s="36" t="str">
        <x:v>APPROVED</x:v>
      </x:c>
      <x:c r="G6" s="37" t="n">
        <x:v>46247.17361111111</x:v>
      </x:c>
      <x:c r="H6" s="38" t="str">
        <x:v>Checklist reviewed</x:v>
      </x:c>
      <x:c r="I6" s="36" t="str">
        <x:v>sha256-demo-PTW-2026-0412-2</x:v>
      </x:c>
      <x:c r="J6" s="36" t="str">
        <x:v>COMPLETED</x:v>
      </x:c>
    </x:row>
    <x:row r="7" ht="24" customHeight="1">
      <x:c r="A7" s="36" t="str">
        <x:v>APR-003</x:v>
      </x:c>
      <x:c r="B7" s="36" t="str">
        <x:v>PTW-2026-0412</x:v>
      </x:c>
      <x:c r="C7" s="39" t="n">
        <x:v>3</x:v>
      </x:c>
      <x:c r="D7" s="36" t="str">
        <x:v>HSE_OFFICER</x:v>
      </x:c>
      <x:c r="E7" s="36" t="str">
        <x:v>EMP-010</x:v>
      </x:c>
      <x:c r="F7" s="36" t="str">
        <x:v>APPROVED</x:v>
      </x:c>
      <x:c r="G7" s="37" t="n">
        <x:v>46247.19097222222</x:v>
      </x:c>
      <x:c r="H7" s="38" t="str">
        <x:v>Checklist reviewed</x:v>
      </x:c>
      <x:c r="I7" s="36" t="str">
        <x:v>sha256-demo-PTW-2026-0412-3</x:v>
      </x:c>
      <x:c r="J7" s="36" t="str">
        <x:v>COMPLETED</x:v>
      </x:c>
    </x:row>
    <x:row r="8" ht="24" customHeight="1">
      <x:c r="A8" s="36" t="str">
        <x:v>APR-004</x:v>
      </x:c>
      <x:c r="B8" s="36" t="str">
        <x:v>PTW-2026-0411</x:v>
      </x:c>
      <x:c r="C8" s="39" t="n">
        <x:v>1</x:v>
      </x:c>
      <x:c r="D8" s="36" t="str">
        <x:v>REQUESTER</x:v>
      </x:c>
      <x:c r="E8" s="36" t="str">
        <x:v>EMP-026</x:v>
      </x:c>
      <x:c r="F8" s="36" t="str">
        <x:v>APPROVED</x:v>
      </x:c>
      <x:c r="G8" s="37" t="n">
        <x:v>46247.09722222222</x:v>
      </x:c>
      <x:c r="H8" s="38" t="str">
        <x:v>Checklist reviewed</x:v>
      </x:c>
      <x:c r="I8" s="36" t="str">
        <x:v>sha256-demo-PTW-2026-0411-1</x:v>
      </x:c>
      <x:c r="J8" s="36" t="str">
        <x:v>COMPLETED</x:v>
      </x:c>
    </x:row>
    <x:row r="9" ht="24" customHeight="1">
      <x:c r="A9" s="36" t="str">
        <x:v>APR-005</x:v>
      </x:c>
      <x:c r="B9" s="36" t="str">
        <x:v>PTW-2026-0411</x:v>
      </x:c>
      <x:c r="C9" s="39" t="n">
        <x:v>2</x:v>
      </x:c>
      <x:c r="D9" s="36" t="str">
        <x:v>AREA_SUPERVISOR</x:v>
      </x:c>
      <x:c r="E9" s="36" t="str">
        <x:v>EMP-006</x:v>
      </x:c>
      <x:c r="F9" s="36" t="str">
        <x:v>APPROVED</x:v>
      </x:c>
      <x:c r="G9" s="37" t="n">
        <x:v>46247.114583333336</x:v>
      </x:c>
      <x:c r="H9" s="38" t="str">
        <x:v>Checklist reviewed</x:v>
      </x:c>
      <x:c r="I9" s="36" t="str">
        <x:v>sha256-demo-PTW-2026-0411-2</x:v>
      </x:c>
      <x:c r="J9" s="36" t="str">
        <x:v>COMPLETED</x:v>
      </x:c>
    </x:row>
    <x:row r="10" ht="24" customHeight="1">
      <x:c r="A10" s="36" t="str">
        <x:v>APR-006</x:v>
      </x:c>
      <x:c r="B10" s="36" t="str">
        <x:v>PTW-2026-0411</x:v>
      </x:c>
      <x:c r="C10" s="39" t="n">
        <x:v>3</x:v>
      </x:c>
      <x:c r="D10" s="36" t="str">
        <x:v>HSE_OFFICER</x:v>
      </x:c>
      <x:c r="E10" s="36" t="str">
        <x:v>EMP-010</x:v>
      </x:c>
      <x:c r="F10" s="36" t="str">
        <x:v>APPROVED</x:v>
      </x:c>
      <x:c r="G10" s="37" t="n">
        <x:v>46247.131944444445</x:v>
      </x:c>
      <x:c r="H10" s="38" t="str">
        <x:v>Checklist reviewed</x:v>
      </x:c>
      <x:c r="I10" s="36" t="str">
        <x:v>sha256-demo-PTW-2026-0411-3</x:v>
      </x:c>
      <x:c r="J10" s="36" t="str">
        <x:v>COMPLETED</x:v>
      </x:c>
    </x:row>
    <x:row r="11" ht="24" customHeight="1">
      <x:c r="A11" s="36" t="str">
        <x:v>APR-007</x:v>
      </x:c>
      <x:c r="B11" s="36" t="str">
        <x:v>PTW-2026-0411</x:v>
      </x:c>
      <x:c r="C11" s="39" t="n">
        <x:v>4</x:v>
      </x:c>
      <x:c r="D11" s="36" t="str">
        <x:v>HSE_MANAGER</x:v>
      </x:c>
      <x:c r="E11" s="36" t="str">
        <x:v>EMP-008</x:v>
      </x:c>
      <x:c r="F11" s="36" t="str">
        <x:v>PENDING</x:v>
      </x:c>
      <x:c r="G11" s="37"/>
      <x:c r="H11" s="38" t="str">
        <x:v>Awaiting HSE Manager</x:v>
      </x:c>
      <x:c r="I11" s="36"/>
      <x:c r="J11" s="36" t="str">
        <x:v>PENDING</x:v>
      </x:c>
    </x:row>
    <x:row r="12" ht="24" customHeight="1">
      <x:c r="A12" s="36" t="str">
        <x:v>APR-008</x:v>
      </x:c>
      <x:c r="B12" s="36" t="str">
        <x:v>PTW-2026-0410</x:v>
      </x:c>
      <x:c r="C12" s="39" t="n">
        <x:v>1</x:v>
      </x:c>
      <x:c r="D12" s="36" t="str">
        <x:v>REQUESTER</x:v>
      </x:c>
      <x:c r="E12" s="36" t="str">
        <x:v>EMP-022</x:v>
      </x:c>
      <x:c r="F12" s="36" t="str">
        <x:v>APPROVED</x:v>
      </x:c>
      <x:c r="G12" s="37" t="n">
        <x:v>46247.197916666664</x:v>
      </x:c>
      <x:c r="H12" s="38" t="str">
        <x:v>Checklist reviewed</x:v>
      </x:c>
      <x:c r="I12" s="36" t="str">
        <x:v>sha256-demo-PTW-2026-0410-1</x:v>
      </x:c>
      <x:c r="J12" s="36" t="str">
        <x:v>COMPLETED</x:v>
      </x:c>
    </x:row>
    <x:row r="13" ht="24" customHeight="1">
      <x:c r="A13" s="36" t="str">
        <x:v>APR-009</x:v>
      </x:c>
      <x:c r="B13" s="36" t="str">
        <x:v>PTW-2026-0410</x:v>
      </x:c>
      <x:c r="C13" s="39" t="n">
        <x:v>2</x:v>
      </x:c>
      <x:c r="D13" s="36" t="str">
        <x:v>AREA_SUPERVISOR</x:v>
      </x:c>
      <x:c r="E13" s="36" t="str">
        <x:v>EMP-015</x:v>
      </x:c>
      <x:c r="F13" s="36" t="str">
        <x:v>APPROVED</x:v>
      </x:c>
      <x:c r="G13" s="37" t="n">
        <x:v>46247.21527777778</x:v>
      </x:c>
      <x:c r="H13" s="38" t="str">
        <x:v>Checklist reviewed</x:v>
      </x:c>
      <x:c r="I13" s="36" t="str">
        <x:v>sha256-demo-PTW-2026-0410-2</x:v>
      </x:c>
      <x:c r="J13" s="36" t="str">
        <x:v>COMPLETED</x:v>
      </x:c>
    </x:row>
    <x:row r="14" ht="24" customHeight="1">
      <x:c r="A14" s="36" t="str">
        <x:v>APR-010</x:v>
      </x:c>
      <x:c r="B14" s="36" t="str">
        <x:v>PTW-2026-0410</x:v>
      </x:c>
      <x:c r="C14" s="39" t="n">
        <x:v>3</x:v>
      </x:c>
      <x:c r="D14" s="36" t="str">
        <x:v>HSE_OFFICER</x:v>
      </x:c>
      <x:c r="E14" s="36" t="str">
        <x:v>EMP-011</x:v>
      </x:c>
      <x:c r="F14" s="36" t="str">
        <x:v>APPROVED</x:v>
      </x:c>
      <x:c r="G14" s="37" t="n">
        <x:v>46247.23263888889</x:v>
      </x:c>
      <x:c r="H14" s="38" t="str">
        <x:v>Checklist reviewed</x:v>
      </x:c>
      <x:c r="I14" s="36" t="str">
        <x:v>sha256-demo-PTW-2026-0410-3</x:v>
      </x:c>
      <x:c r="J14" s="36" t="str">
        <x:v>COMPLETED</x:v>
      </x:c>
    </x:row>
    <x:row r="15" ht="24" customHeight="1">
      <x:c r="A15" s="36" t="str">
        <x:v>APR-011</x:v>
      </x:c>
      <x:c r="B15" s="36" t="str">
        <x:v>PTW-2026-0409</x:v>
      </x:c>
      <x:c r="C15" s="39" t="n">
        <x:v>1</x:v>
      </x:c>
      <x:c r="D15" s="36" t="str">
        <x:v>REQUESTER</x:v>
      </x:c>
      <x:c r="E15" s="36" t="str">
        <x:v>EMP-027</x:v>
      </x:c>
      <x:c r="F15" s="36" t="str">
        <x:v>APPROVED</x:v>
      </x:c>
      <x:c r="G15" s="37" t="n">
        <x:v>46247.055555555555</x:v>
      </x:c>
      <x:c r="H15" s="38" t="str">
        <x:v>Checklist reviewed</x:v>
      </x:c>
      <x:c r="I15" s="36" t="str">
        <x:v>sha256-demo-PTW-2026-0409-1</x:v>
      </x:c>
      <x:c r="J15" s="36" t="str">
        <x:v>COMPLETED</x:v>
      </x:c>
    </x:row>
    <x:row r="16" ht="24" customHeight="1">
      <x:c r="A16" s="36" t="str">
        <x:v>APR-012</x:v>
      </x:c>
      <x:c r="B16" s="36" t="str">
        <x:v>PTW-2026-0409</x:v>
      </x:c>
      <x:c r="C16" s="39" t="n">
        <x:v>2</x:v>
      </x:c>
      <x:c r="D16" s="36" t="str">
        <x:v>AREA_SUPERVISOR</x:v>
      </x:c>
      <x:c r="E16" s="36" t="str">
        <x:v>EMP-006</x:v>
      </x:c>
      <x:c r="F16" s="36" t="str">
        <x:v>APPROVED</x:v>
      </x:c>
      <x:c r="G16" s="37" t="n">
        <x:v>46247.072916666664</x:v>
      </x:c>
      <x:c r="H16" s="38" t="str">
        <x:v>Checklist reviewed</x:v>
      </x:c>
      <x:c r="I16" s="36" t="str">
        <x:v>sha256-demo-PTW-2026-0409-2</x:v>
      </x:c>
      <x:c r="J16" s="36" t="str">
        <x:v>COMPLETED</x:v>
      </x:c>
    </x:row>
    <x:row r="17" ht="24" customHeight="1">
      <x:c r="A17" s="36" t="str">
        <x:v>APR-013</x:v>
      </x:c>
      <x:c r="B17" s="36" t="str">
        <x:v>PTW-2026-0409</x:v>
      </x:c>
      <x:c r="C17" s="39" t="n">
        <x:v>3</x:v>
      </x:c>
      <x:c r="D17" s="36" t="str">
        <x:v>HSE_OFFICER</x:v>
      </x:c>
      <x:c r="E17" s="36" t="str">
        <x:v>EMP-012</x:v>
      </x:c>
      <x:c r="F17" s="36" t="str">
        <x:v>APPROVED</x:v>
      </x:c>
      <x:c r="G17" s="37" t="n">
        <x:v>46247.09027777778</x:v>
      </x:c>
      <x:c r="H17" s="38" t="str">
        <x:v>Checklist reviewed</x:v>
      </x:c>
      <x:c r="I17" s="36" t="str">
        <x:v>sha256-demo-PTW-2026-0409-3</x:v>
      </x:c>
      <x:c r="J17" s="36" t="str">
        <x:v>COMPLETED</x:v>
      </x:c>
    </x:row>
    <x:row r="18" ht="24" customHeight="1">
      <x:c r="A18" s="36" t="str">
        <x:v>APR-014</x:v>
      </x:c>
      <x:c r="B18" s="36" t="str">
        <x:v>PTW-2026-0409</x:v>
      </x:c>
      <x:c r="C18" s="39" t="n">
        <x:v>4</x:v>
      </x:c>
      <x:c r="D18" s="36" t="str">
        <x:v>HSE_MANAGER</x:v>
      </x:c>
      <x:c r="E18" s="36" t="str">
        <x:v>EMP-008</x:v>
      </x:c>
      <x:c r="F18" s="36" t="str">
        <x:v>APPROVED</x:v>
      </x:c>
      <x:c r="G18" s="37" t="n">
        <x:v>46247.10763888889</x:v>
      </x:c>
      <x:c r="H18" s="38" t="str">
        <x:v>Checklist reviewed</x:v>
      </x:c>
      <x:c r="I18" s="36" t="str">
        <x:v>sha256-demo-PTW-2026-0409-4</x:v>
      </x:c>
      <x:c r="J18" s="36" t="str">
        <x:v>COMPLETED</x:v>
      </x:c>
    </x:row>
    <x:row r="19" ht="24" customHeight="1">
      <x:c r="A19" s="36" t="str">
        <x:v>APR-015</x:v>
      </x:c>
      <x:c r="B19" s="36" t="str">
        <x:v>PTW-2026-0408</x:v>
      </x:c>
      <x:c r="C19" s="39" t="n">
        <x:v>1</x:v>
      </x:c>
      <x:c r="D19" s="36" t="str">
        <x:v>REQUESTER</x:v>
      </x:c>
      <x:c r="E19" s="36" t="str">
        <x:v>EMP-021</x:v>
      </x:c>
      <x:c r="F19" s="36" t="str">
        <x:v>APPROVED</x:v>
      </x:c>
      <x:c r="G19" s="37" t="n">
        <x:v>46247.239583333336</x:v>
      </x:c>
      <x:c r="H19" s="38" t="str">
        <x:v>Checklist reviewed</x:v>
      </x:c>
      <x:c r="I19" s="36" t="str">
        <x:v>sha256-demo-PTW-2026-0408-1</x:v>
      </x:c>
      <x:c r="J19" s="36" t="str">
        <x:v>COMPLETED</x:v>
      </x:c>
    </x:row>
    <x:row r="20" ht="24" customHeight="1">
      <x:c r="A20" s="36" t="str">
        <x:v>APR-016</x:v>
      </x:c>
      <x:c r="B20" s="36" t="str">
        <x:v>PTW-2026-0408</x:v>
      </x:c>
      <x:c r="C20" s="39" t="n">
        <x:v>2</x:v>
      </x:c>
      <x:c r="D20" s="36" t="str">
        <x:v>AREA_SUPERVISOR</x:v>
      </x:c>
      <x:c r="E20" s="36" t="str">
        <x:v>EMP-015</x:v>
      </x:c>
      <x:c r="F20" s="36" t="str">
        <x:v>APPROVED</x:v>
      </x:c>
      <x:c r="G20" s="37" t="n">
        <x:v>46247.256944444445</x:v>
      </x:c>
      <x:c r="H20" s="38" t="str">
        <x:v>Checklist reviewed</x:v>
      </x:c>
      <x:c r="I20" s="36" t="str">
        <x:v>sha256-demo-PTW-2026-0408-2</x:v>
      </x:c>
      <x:c r="J20" s="36" t="str">
        <x:v>COMPLETED</x:v>
      </x:c>
    </x:row>
    <x:row r="21" ht="24" customHeight="1">
      <x:c r="A21" s="36" t="str">
        <x:v>APR-017</x:v>
      </x:c>
      <x:c r="B21" s="36" t="str">
        <x:v>PTW-2026-0408</x:v>
      </x:c>
      <x:c r="C21" s="39" t="n">
        <x:v>3</x:v>
      </x:c>
      <x:c r="D21" s="36" t="str">
        <x:v>HSE_OFFICER</x:v>
      </x:c>
      <x:c r="E21" s="36" t="str">
        <x:v>EMP-010</x:v>
      </x:c>
      <x:c r="F21" s="36" t="str">
        <x:v>APPROVED</x:v>
      </x:c>
      <x:c r="G21" s="37" t="n">
        <x:v>46247.274305555555</x:v>
      </x:c>
      <x:c r="H21" s="38" t="str">
        <x:v>Checklist reviewed</x:v>
      </x:c>
      <x:c r="I21" s="36" t="str">
        <x:v>sha256-demo-PTW-2026-0408-3</x:v>
      </x:c>
      <x:c r="J21" s="36" t="str">
        <x:v>COMPLETED</x:v>
      </x:c>
    </x:row>
    <x:row r="22" ht="24" customHeight="1">
      <x:c r="A22" s="36" t="str">
        <x:v>APR-018</x:v>
      </x:c>
      <x:c r="B22" s="36" t="str">
        <x:v>PTW-2026-0407</x:v>
      </x:c>
      <x:c r="C22" s="39" t="n">
        <x:v>1</x:v>
      </x:c>
      <x:c r="D22" s="36" t="str">
        <x:v>REQUESTER</x:v>
      </x:c>
      <x:c r="E22" s="36" t="str">
        <x:v>EMP-006</x:v>
      </x:c>
      <x:c r="F22" s="36" t="str">
        <x:v>APPROVED</x:v>
      </x:c>
      <x:c r="G22" s="37" t="n">
        <x:v>46247.15625</x:v>
      </x:c>
      <x:c r="H22" s="38" t="str">
        <x:v>Checklist reviewed</x:v>
      </x:c>
      <x:c r="I22" s="36" t="str">
        <x:v>sha256-demo-PTW-2026-0407-1</x:v>
      </x:c>
      <x:c r="J22" s="36" t="str">
        <x:v>COMPLETED</x:v>
      </x:c>
    </x:row>
    <x:row r="23" ht="24" customHeight="1">
      <x:c r="A23" s="36" t="str">
        <x:v>APR-019</x:v>
      </x:c>
      <x:c r="B23" s="36" t="str">
        <x:v>PTW-2026-0407</x:v>
      </x:c>
      <x:c r="C23" s="39" t="n">
        <x:v>2</x:v>
      </x:c>
      <x:c r="D23" s="36" t="str">
        <x:v>AREA_SUPERVISOR</x:v>
      </x:c>
      <x:c r="E23" s="36" t="str">
        <x:v>EMP-011</x:v>
      </x:c>
      <x:c r="F23" s="36" t="str">
        <x:v>APPROVED</x:v>
      </x:c>
      <x:c r="G23" s="37" t="n">
        <x:v>46247.17361111111</x:v>
      </x:c>
      <x:c r="H23" s="38" t="str">
        <x:v>Checklist reviewed</x:v>
      </x:c>
      <x:c r="I23" s="36" t="str">
        <x:v>sha256-demo-PTW-2026-0407-2</x:v>
      </x:c>
      <x:c r="J23" s="36" t="str">
        <x:v>COMPLETED</x:v>
      </x:c>
    </x:row>
    <x:row r="24" ht="24" customHeight="1">
      <x:c r="A24" s="36" t="str">
        <x:v>APR-020</x:v>
      </x:c>
      <x:c r="B24" s="36" t="str">
        <x:v>PTW-2026-0407</x:v>
      </x:c>
      <x:c r="C24" s="39" t="n">
        <x:v>3</x:v>
      </x:c>
      <x:c r="D24" s="36" t="str">
        <x:v>HSE_OFFICER</x:v>
      </x:c>
      <x:c r="E24" s="36" t="str">
        <x:v>EMP-011</x:v>
      </x:c>
      <x:c r="F24" s="36" t="str">
        <x:v>APPROVED</x:v>
      </x:c>
      <x:c r="G24" s="37" t="n">
        <x:v>46247.19097222222</x:v>
      </x:c>
      <x:c r="H24" s="38" t="str">
        <x:v>Checklist reviewed</x:v>
      </x:c>
      <x:c r="I24" s="36" t="str">
        <x:v>sha256-demo-PTW-2026-0407-3</x:v>
      </x:c>
      <x:c r="J24" s="36" t="str">
        <x:v>COMPLETED</x:v>
      </x:c>
    </x:row>
    <x:row r="25" ht="24" customHeight="1">
      <x:c r="A25" s="36" t="str">
        <x:v>APR-021</x:v>
      </x:c>
      <x:c r="B25" s="36" t="str">
        <x:v>PTW-2026-0406</x:v>
      </x:c>
      <x:c r="C25" s="39" t="n">
        <x:v>1</x:v>
      </x:c>
      <x:c r="D25" s="36" t="str">
        <x:v>REQUESTER</x:v>
      </x:c>
      <x:c r="E25" s="36" t="str">
        <x:v>EMP-032</x:v>
      </x:c>
      <x:c r="F25" s="36" t="str">
        <x:v>APPROVED</x:v>
      </x:c>
      <x:c r="G25" s="37" t="n">
        <x:v>46246.15625</x:v>
      </x:c>
      <x:c r="H25" s="38" t="str">
        <x:v>Checklist reviewed</x:v>
      </x:c>
      <x:c r="I25" s="36" t="str">
        <x:v>sha256-demo-PTW-2026-0406-1</x:v>
      </x:c>
      <x:c r="J25" s="36" t="str">
        <x:v>COMPLETED</x:v>
      </x:c>
    </x:row>
    <x:row r="26" ht="24" customHeight="1">
      <x:c r="A26" s="36" t="str">
        <x:v>APR-022</x:v>
      </x:c>
      <x:c r="B26" s="36" t="str">
        <x:v>PTW-2026-0406</x:v>
      </x:c>
      <x:c r="C26" s="39" t="n">
        <x:v>2</x:v>
      </x:c>
      <x:c r="D26" s="36" t="str">
        <x:v>AREA_SUPERVISOR</x:v>
      </x:c>
      <x:c r="E26" s="36" t="str">
        <x:v>EMP-015</x:v>
      </x:c>
      <x:c r="F26" s="36" t="str">
        <x:v>APPROVED</x:v>
      </x:c>
      <x:c r="G26" s="37" t="n">
        <x:v>46246.17361111111</x:v>
      </x:c>
      <x:c r="H26" s="38" t="str">
        <x:v>Checklist reviewed</x:v>
      </x:c>
      <x:c r="I26" s="36" t="str">
        <x:v>sha256-demo-PTW-2026-0406-2</x:v>
      </x:c>
      <x:c r="J26" s="36" t="str">
        <x:v>COMPLETED</x:v>
      </x:c>
    </x:row>
    <x:row r="27" ht="24" customHeight="1">
      <x:c r="A27" s="36" t="str">
        <x:v>APR-023</x:v>
      </x:c>
      <x:c r="B27" s="36" t="str">
        <x:v>PTW-2026-0406</x:v>
      </x:c>
      <x:c r="C27" s="39" t="n">
        <x:v>3</x:v>
      </x:c>
      <x:c r="D27" s="36" t="str">
        <x:v>HSE_OFFICER</x:v>
      </x:c>
      <x:c r="E27" s="36" t="str">
        <x:v>EMP-010</x:v>
      </x:c>
      <x:c r="F27" s="36" t="str">
        <x:v>APPROVED</x:v>
      </x:c>
      <x:c r="G27" s="37" t="n">
        <x:v>46246.19097222222</x:v>
      </x:c>
      <x:c r="H27" s="38" t="str">
        <x:v>Checklist reviewed</x:v>
      </x:c>
      <x:c r="I27" s="36" t="str">
        <x:v>sha256-demo-PTW-2026-0406-3</x:v>
      </x:c>
      <x:c r="J27" s="36" t="str">
        <x:v>COMPLETED</x:v>
      </x:c>
    </x:row>
    <x:row r="28" ht="24" customHeight="1">
      <x:c r="A28" s="36" t="str">
        <x:v>APR-024</x:v>
      </x:c>
      <x:c r="B28" s="36" t="str">
        <x:v>PTW-2026-0405</x:v>
      </x:c>
      <x:c r="C28" s="39" t="n">
        <x:v>1</x:v>
      </x:c>
      <x:c r="D28" s="36" t="str">
        <x:v>REQUESTER</x:v>
      </x:c>
      <x:c r="E28" s="36" t="str">
        <x:v>EMP-022</x:v>
      </x:c>
      <x:c r="F28" s="36" t="str">
        <x:v>APPROVED</x:v>
      </x:c>
      <x:c r="G28" s="37" t="n">
        <x:v>46246.114583333336</x:v>
      </x:c>
      <x:c r="H28" s="38" t="str">
        <x:v>Checklist reviewed</x:v>
      </x:c>
      <x:c r="I28" s="36" t="str">
        <x:v>sha256-demo-PTW-2026-0405-1</x:v>
      </x:c>
      <x:c r="J28" s="36" t="str">
        <x:v>COMPLETED</x:v>
      </x:c>
    </x:row>
    <x:row r="29" ht="24" customHeight="1">
      <x:c r="A29" s="36" t="str">
        <x:v>APR-025</x:v>
      </x:c>
      <x:c r="B29" s="36" t="str">
        <x:v>PTW-2026-0405</x:v>
      </x:c>
      <x:c r="C29" s="39" t="n">
        <x:v>2</x:v>
      </x:c>
      <x:c r="D29" s="36" t="str">
        <x:v>AREA_SUPERVISOR</x:v>
      </x:c>
      <x:c r="E29" s="36" t="str">
        <x:v>EMP-015</x:v>
      </x:c>
      <x:c r="F29" s="36" t="str">
        <x:v>APPROVED</x:v>
      </x:c>
      <x:c r="G29" s="37" t="n">
        <x:v>46246.131944444445</x:v>
      </x:c>
      <x:c r="H29" s="38" t="str">
        <x:v>Checklist reviewed</x:v>
      </x:c>
      <x:c r="I29" s="36" t="str">
        <x:v>sha256-demo-PTW-2026-0405-2</x:v>
      </x:c>
      <x:c r="J29" s="36" t="str">
        <x:v>COMPLETED</x:v>
      </x:c>
    </x:row>
    <x:row r="30" ht="24" customHeight="1">
      <x:c r="A30" s="36" t="str">
        <x:v>APR-026</x:v>
      </x:c>
      <x:c r="B30" s="36" t="str">
        <x:v>PTW-2026-0405</x:v>
      </x:c>
      <x:c r="C30" s="39" t="n">
        <x:v>3</x:v>
      </x:c>
      <x:c r="D30" s="36" t="str">
        <x:v>HSE_OFFICER</x:v>
      </x:c>
      <x:c r="E30" s="36" t="str">
        <x:v>EMP-012</x:v>
      </x:c>
      <x:c r="F30" s="36" t="str">
        <x:v>APPROVED</x:v>
      </x:c>
      <x:c r="G30" s="37" t="n">
        <x:v>46246.149305555555</x:v>
      </x:c>
      <x:c r="H30" s="38" t="str">
        <x:v>Checklist reviewed</x:v>
      </x:c>
      <x:c r="I30" s="36" t="str">
        <x:v>sha256-demo-PTW-2026-0405-3</x:v>
      </x:c>
      <x:c r="J30" s="36" t="str">
        <x:v>COMPLETED</x:v>
      </x:c>
    </x:row>
    <x:row r="31" ht="24" customHeight="1">
      <x:c r="A31" s="36" t="str">
        <x:v>APR-027</x:v>
      </x:c>
      <x:c r="B31" s="36" t="str">
        <x:v>PTW-2026-0404</x:v>
      </x:c>
      <x:c r="C31" s="39" t="n">
        <x:v>1</x:v>
      </x:c>
      <x:c r="D31" s="36" t="str">
        <x:v>REQUESTER</x:v>
      </x:c>
      <x:c r="E31" s="36"/>
      <x:c r="F31" s="36" t="str">
        <x:v>PENDING</x:v>
      </x:c>
      <x:c r="G31" s="37"/>
      <x:c r="H31" s="38" t="str">
        <x:v>Not submitted</x:v>
      </x:c>
      <x:c r="I31" s="36"/>
      <x:c r="J31" s="36" t="str">
        <x:v>PENDING</x:v>
      </x:c>
    </x:row>
    <x:row r="32" ht="24" customHeight="1">
      <x:c r="A32" s="36" t="str">
        <x:v>APR-028</x:v>
      </x:c>
      <x:c r="B32" s="36" t="str">
        <x:v>PTW-2026-0404</x:v>
      </x:c>
      <x:c r="C32" s="39" t="n">
        <x:v>2</x:v>
      </x:c>
      <x:c r="D32" s="36" t="str">
        <x:v>AREA_SUPERVISOR</x:v>
      </x:c>
      <x:c r="E32" s="36"/>
      <x:c r="F32" s="36" t="str">
        <x:v>PENDING</x:v>
      </x:c>
      <x:c r="G32" s="37"/>
      <x:c r="H32" s="38" t="str">
        <x:v>Not submitted</x:v>
      </x:c>
      <x:c r="I32" s="36"/>
      <x:c r="J32" s="36" t="str">
        <x:v>PENDING</x:v>
      </x:c>
    </x:row>
    <x:row r="33" ht="24" customHeight="1">
      <x:c r="A33" s="36" t="str">
        <x:v>APR-029</x:v>
      </x:c>
      <x:c r="B33" s="36" t="str">
        <x:v>PTW-2026-0404</x:v>
      </x:c>
      <x:c r="C33" s="39" t="n">
        <x:v>3</x:v>
      </x:c>
      <x:c r="D33" s="36" t="str">
        <x:v>HSE_OFFICER</x:v>
      </x:c>
      <x:c r="E33" s="36"/>
      <x:c r="F33" s="36" t="str">
        <x:v>PENDING</x:v>
      </x:c>
      <x:c r="G33" s="37"/>
      <x:c r="H33" s="38" t="str">
        <x:v>Not submitted</x:v>
      </x:c>
      <x:c r="I33" s="36"/>
      <x:c r="J33" s="36" t="str">
        <x:v>PENDING</x:v>
      </x:c>
    </x:row>
    <x:row r="34" ht="24" customHeight="1">
      <x:c r="A34" s="36" t="str">
        <x:v>APR-030</x:v>
      </x:c>
      <x:c r="B34" s="36" t="str">
        <x:v>PTW-2026-0403</x:v>
      </x:c>
      <x:c r="C34" s="39" t="n">
        <x:v>1</x:v>
      </x:c>
      <x:c r="D34" s="36" t="str">
        <x:v>REQUESTER</x:v>
      </x:c>
      <x:c r="E34" s="36" t="str">
        <x:v>EMP-029</x:v>
      </x:c>
      <x:c r="F34" s="36" t="str">
        <x:v>APPROVED</x:v>
      </x:c>
      <x:c r="G34" s="37" t="n">
        <x:v>46247.22222222222</x:v>
      </x:c>
      <x:c r="H34" s="38" t="str">
        <x:v>Checklist reviewed</x:v>
      </x:c>
      <x:c r="I34" s="36" t="str">
        <x:v>sha256-demo-PTW-2026-0403-1</x:v>
      </x:c>
      <x:c r="J34" s="36" t="str">
        <x:v>COMPLETED</x:v>
      </x:c>
    </x:row>
    <x:row r="35" ht="24" customHeight="1">
      <x:c r="A35" s="36" t="str">
        <x:v>APR-031</x:v>
      </x:c>
      <x:c r="B35" s="36" t="str">
        <x:v>PTW-2026-0403</x:v>
      </x:c>
      <x:c r="C35" s="39" t="n">
        <x:v>2</x:v>
      </x:c>
      <x:c r="D35" s="36" t="str">
        <x:v>AREA_SUPERVISOR</x:v>
      </x:c>
      <x:c r="E35" s="36" t="str">
        <x:v>EMP-015</x:v>
      </x:c>
      <x:c r="F35" s="36" t="str">
        <x:v>APPROVED</x:v>
      </x:c>
      <x:c r="G35" s="37" t="n">
        <x:v>46247.239583333336</x:v>
      </x:c>
      <x:c r="H35" s="38" t="str">
        <x:v>Checklist reviewed</x:v>
      </x:c>
      <x:c r="I35" s="36" t="str">
        <x:v>sha256-demo-PTW-2026-0403-2</x:v>
      </x:c>
      <x:c r="J35" s="36" t="str">
        <x:v>COMPLETED</x:v>
      </x:c>
    </x:row>
    <x:row r="36" ht="24" customHeight="1">
      <x:c r="A36" s="36" t="str">
        <x:v>APR-032</x:v>
      </x:c>
      <x:c r="B36" s="36" t="str">
        <x:v>PTW-2026-0403</x:v>
      </x:c>
      <x:c r="C36" s="39" t="n">
        <x:v>3</x:v>
      </x:c>
      <x:c r="D36" s="36" t="str">
        <x:v>HSE_OFFICER</x:v>
      </x:c>
      <x:c r="E36" s="36" t="str">
        <x:v>EMP-010</x:v>
      </x:c>
      <x:c r="F36" s="36" t="str">
        <x:v>APPROVED</x:v>
      </x:c>
      <x:c r="G36" s="37" t="n">
        <x:v>46247.256944444445</x:v>
      </x:c>
      <x:c r="H36" s="38" t="str">
        <x:v>Checklist reviewed</x:v>
      </x:c>
      <x:c r="I36" s="36" t="str">
        <x:v>sha256-demo-PTW-2026-0403-3</x:v>
      </x:c>
      <x:c r="J36" s="36" t="str">
        <x:v>COMPLETED</x:v>
      </x:c>
    </x:row>
    <x:row r="37" ht="24" customHeight="1">
      <x:c r="A37" s="36" t="str">
        <x:v>APR-033</x:v>
      </x:c>
      <x:c r="B37" s="36" t="str">
        <x:v>PTW-2026-0403</x:v>
      </x:c>
      <x:c r="C37" s="39" t="n">
        <x:v>4</x:v>
      </x:c>
      <x:c r="D37" s="36" t="str">
        <x:v>HSE_MANAGER</x:v>
      </x:c>
      <x:c r="E37" s="36" t="str">
        <x:v>EMP-008</x:v>
      </x:c>
      <x:c r="F37" s="36" t="str">
        <x:v>REJECTED</x:v>
      </x:c>
      <x:c r="G37" s="37" t="n">
        <x:v>46247.239583333336</x:v>
      </x:c>
      <x:c r="H37" s="38" t="str">
        <x:v>SIMOPS conflict</x:v>
      </x:c>
      <x:c r="I37" s="36"/>
      <x:c r="J37" s="36" t="str">
        <x:v>COMPLETED</x:v>
      </x:c>
    </x:row>
    <x:row r="38" ht="24" customHeight="1">
      <x:c r="A38" s="36" t="str">
        <x:v>APR-034</x:v>
      </x:c>
      <x:c r="B38" s="36" t="str">
        <x:v>PTW-2026-0402</x:v>
      </x:c>
      <x:c r="C38" s="39" t="n">
        <x:v>1</x:v>
      </x:c>
      <x:c r="D38" s="36" t="str">
        <x:v>REQUESTER</x:v>
      </x:c>
      <x:c r="E38" s="36" t="str">
        <x:v>EMP-027</x:v>
      </x:c>
      <x:c r="F38" s="36" t="str">
        <x:v>APPROVED</x:v>
      </x:c>
      <x:c r="G38" s="37" t="n">
        <x:v>46244.055555555555</x:v>
      </x:c>
      <x:c r="H38" s="38" t="str">
        <x:v>Checklist reviewed</x:v>
      </x:c>
      <x:c r="I38" s="36" t="str">
        <x:v>sha256-demo-PTW-2026-0402-1</x:v>
      </x:c>
      <x:c r="J38" s="36" t="str">
        <x:v>COMPLETED</x:v>
      </x:c>
    </x:row>
    <x:row r="39" ht="24" customHeight="1">
      <x:c r="A39" s="36" t="str">
        <x:v>APR-035</x:v>
      </x:c>
      <x:c r="B39" s="36" t="str">
        <x:v>PTW-2026-0402</x:v>
      </x:c>
      <x:c r="C39" s="39" t="n">
        <x:v>2</x:v>
      </x:c>
      <x:c r="D39" s="36" t="str">
        <x:v>AREA_SUPERVISOR</x:v>
      </x:c>
      <x:c r="E39" s="36" t="str">
        <x:v>EMP-006</x:v>
      </x:c>
      <x:c r="F39" s="36" t="str">
        <x:v>APPROVED</x:v>
      </x:c>
      <x:c r="G39" s="37" t="n">
        <x:v>46244.072916666664</x:v>
      </x:c>
      <x:c r="H39" s="38" t="str">
        <x:v>Checklist reviewed</x:v>
      </x:c>
      <x:c r="I39" s="36" t="str">
        <x:v>sha256-demo-PTW-2026-0402-2</x:v>
      </x:c>
      <x:c r="J39" s="36" t="str">
        <x:v>COMPLETED</x:v>
      </x:c>
    </x:row>
    <x:row r="40" ht="24" customHeight="1">
      <x:c r="A40" s="36" t="str">
        <x:v>APR-036</x:v>
      </x:c>
      <x:c r="B40" s="36" t="str">
        <x:v>PTW-2026-0402</x:v>
      </x:c>
      <x:c r="C40" s="39" t="n">
        <x:v>3</x:v>
      </x:c>
      <x:c r="D40" s="36" t="str">
        <x:v>HSE_OFFICER</x:v>
      </x:c>
      <x:c r="E40" s="36" t="str">
        <x:v>EMP-012</x:v>
      </x:c>
      <x:c r="F40" s="36" t="str">
        <x:v>APPROVED</x:v>
      </x:c>
      <x:c r="G40" s="37" t="n">
        <x:v>46244.09027777778</x:v>
      </x:c>
      <x:c r="H40" s="38" t="str">
        <x:v>Checklist reviewed</x:v>
      </x:c>
      <x:c r="I40" s="36" t="str">
        <x:v>sha256-demo-PTW-2026-0402-3</x:v>
      </x:c>
      <x:c r="J40" s="36" t="str">
        <x:v>COMPLETED</x:v>
      </x:c>
    </x:row>
    <x:row r="41" ht="24" customHeight="1">
      <x:c r="A41" s="36" t="str">
        <x:v>APR-037</x:v>
      </x:c>
      <x:c r="B41" s="36" t="str">
        <x:v>PTW-2026-0402</x:v>
      </x:c>
      <x:c r="C41" s="39" t="n">
        <x:v>4</x:v>
      </x:c>
      <x:c r="D41" s="36" t="str">
        <x:v>HSE_MANAGER</x:v>
      </x:c>
      <x:c r="E41" s="36" t="str">
        <x:v>EMP-008</x:v>
      </x:c>
      <x:c r="F41" s="36" t="str">
        <x:v>APPROVED</x:v>
      </x:c>
      <x:c r="G41" s="37" t="n">
        <x:v>46244.10763888889</x:v>
      </x:c>
      <x:c r="H41" s="38" t="str">
        <x:v>Checklist reviewed</x:v>
      </x:c>
      <x:c r="I41" s="36" t="str">
        <x:v>sha256-demo-PTW-2026-0402-4</x:v>
      </x:c>
      <x:c r="J41" s="36" t="str">
        <x:v>COMPLETED</x:v>
      </x:c>
    </x:row>
    <x:row r="42" ht="24" customHeight="1">
      <x:c r="A42" s="36" t="str">
        <x:v>APR-038</x:v>
      </x:c>
      <x:c r="B42" s="36" t="str">
        <x:v>PTW-2026-0401</x:v>
      </x:c>
      <x:c r="C42" s="39" t="n">
        <x:v>1</x:v>
      </x:c>
      <x:c r="D42" s="36" t="str">
        <x:v>REQUESTER</x:v>
      </x:c>
      <x:c r="E42" s="36" t="str">
        <x:v>EMP-021</x:v>
      </x:c>
      <x:c r="F42" s="36" t="str">
        <x:v>APPROVED</x:v>
      </x:c>
      <x:c r="G42" s="37" t="n">
        <x:v>46243.15625</x:v>
      </x:c>
      <x:c r="H42" s="38" t="str">
        <x:v>Checklist reviewed</x:v>
      </x:c>
      <x:c r="I42" s="36" t="str">
        <x:v>sha256-demo-PTW-2026-0401-1</x:v>
      </x:c>
      <x:c r="J42" s="36" t="str">
        <x:v>COMPLETED</x:v>
      </x:c>
    </x:row>
    <x:row r="43" ht="24" customHeight="1">
      <x:c r="A43" s="36" t="str">
        <x:v>APR-039</x:v>
      </x:c>
      <x:c r="B43" s="36" t="str">
        <x:v>PTW-2026-0401</x:v>
      </x:c>
      <x:c r="C43" s="39" t="n">
        <x:v>2</x:v>
      </x:c>
      <x:c r="D43" s="36" t="str">
        <x:v>AREA_SUPERVISOR</x:v>
      </x:c>
      <x:c r="E43" s="36" t="str">
        <x:v>EMP-015</x:v>
      </x:c>
      <x:c r="F43" s="36" t="str">
        <x:v>APPROVED</x:v>
      </x:c>
      <x:c r="G43" s="37" t="n">
        <x:v>46243.17361111111</x:v>
      </x:c>
      <x:c r="H43" s="38" t="str">
        <x:v>Checklist reviewed</x:v>
      </x:c>
      <x:c r="I43" s="36" t="str">
        <x:v>sha256-demo-PTW-2026-0401-2</x:v>
      </x:c>
      <x:c r="J43" s="36" t="str">
        <x:v>COMPLETED</x:v>
      </x:c>
    </x:row>
    <x:row r="44" ht="24" customHeight="1">
      <x:c r="A44" s="41" t="str">
        <x:v>APR-040</x:v>
      </x:c>
      <x:c r="B44" s="41" t="str">
        <x:v>PTW-2026-0401</x:v>
      </x:c>
      <x:c r="C44" s="44" t="n">
        <x:v>3</x:v>
      </x:c>
      <x:c r="D44" s="41" t="str">
        <x:v>HSE_OFFICER</x:v>
      </x:c>
      <x:c r="E44" s="41" t="str">
        <x:v>EMP-010</x:v>
      </x:c>
      <x:c r="F44" s="41" t="str">
        <x:v>APPROVED</x:v>
      </x:c>
      <x:c r="G44" s="42" t="n">
        <x:v>46243.19097222222</x:v>
      </x:c>
      <x:c r="H44" s="43" t="str">
        <x:v>Checklist reviewed</x:v>
      </x:c>
      <x:c r="I44" s="41" t="str">
        <x:v>sha256-demo-PTW-2026-0401-3</x:v>
      </x:c>
      <x:c r="J44" s="41" t="str">
        <x:v>COMPLETED</x:v>
      </x:c>
    </x:row>
  </x:sheetData>
  <x:mergeCells>
    <x:mergeCell ref="A1:J1"/>
    <x:mergeCell ref="A2:J2"/>
  </x:mergeCells>
  <x:conditionalFormatting sqref="J5:J44">
    <x:cfRule type="containsText" dxfId="693" priority="1" operator="containsText" text="CRITICAL"/>
    <x:cfRule type="containsText" dxfId="694" priority="2" operator="containsText" text="EXPIRED"/>
    <x:cfRule type="containsText" dxfId="695" priority="3" operator="containsText" text="FAILED"/>
    <x:cfRule type="containsText" dxfId="696" priority="4" operator="containsText" text="OVERDUE"/>
    <x:cfRule type="containsText" dxfId="697" priority="5" operator="containsText" text="REJECTED"/>
    <x:cfRule type="containsText" dxfId="698" priority="6" operator="containsText" text="OUT_OF_SERVICE"/>
    <x:cfRule type="containsText" dxfId="699" priority="7" operator="containsText" text="BELOW_THRESHOLD"/>
    <x:cfRule type="containsText" dxfId="700" priority="8" operator="containsText" text="HIGH"/>
    <x:cfRule type="containsText" dxfId="701" priority="9" operator="containsText" text="WARNING"/>
    <x:cfRule type="containsText" dxfId="702" priority="10" operator="containsText" text="DUE_SOON"/>
    <x:cfRule type="containsText" dxfId="703" priority="11" operator="containsText" text="OPEN"/>
    <x:cfRule type="containsText" dxfId="704" priority="12" operator="containsText" text="PENDING"/>
    <x:cfRule type="containsText" dxfId="705" priority="13" operator="containsText" text="SUSPENDED"/>
    <x:cfRule type="containsText" dxfId="706" priority="14" operator="containsText" text="TESTING"/>
    <x:cfRule type="containsText" dxfId="707" priority="15" operator="containsText" text="PARTIAL_FAILURE"/>
    <x:cfRule type="containsText" dxfId="708" priority="16" operator="containsText" text="LOW_STOCK"/>
    <x:cfRule type="containsText" dxfId="709" priority="17" operator="containsText" text="ACTIVE"/>
    <x:cfRule type="containsText" dxfId="710" priority="18" operator="containsText" text="VALID"/>
    <x:cfRule type="containsText" dxfId="711" priority="19" operator="containsText" text="SUCCESS"/>
    <x:cfRule type="containsText" dxfId="712" priority="20" operator="containsText" text="COMPLETED"/>
    <x:cfRule type="containsText" dxfId="713" priority="21" operator="containsText" text="CLOSED"/>
    <x:cfRule type="containsText" dxfId="714" priority="22" operator="containsText" text="CONNECTED"/>
    <x:cfRule type="containsText" dxfId="715" priority="23" operator="containsText" text="NORMAL"/>
    <x:cfRule type="containsText" dxfId="716" priority="24" operator="containsText" text="VERIFIED"/>
    <x:cfRule type="containsText" dxfId="717" priority="25" operator="containsText" text="RESOLVED"/>
    <x:cfRule type="containsText" dxfId="718" priority="26" operator="containsText" text="PASS"/>
    <x:cfRule type="containsText" dxfId="719" priority="27" operator="containsText" text="OK"/>
    <x:cfRule type="containsText" dxfId="720" priority="28" operator="containsText" text="INFO"/>
    <x:cfRule type="containsText" dxfId="721" priority="29" operator="containsText" text="DRAFT"/>
    <x:cfRule type="containsText" dxfId="722" priority="30" operator="containsText" text="SCHEDULED"/>
    <x:cfRule type="containsText" dxfId="723" priority="31" operator="containsText" text="IN_PROGRESS"/>
    <x:cfRule type="containsText" dxfId="724" priority="32" operator="containsText" text="MODEL_REVIEW"/>
    <x:cfRule type="containsText" dxfId="725" priority="33" operator="containsText" text="READ"/>
  </x:conditionalFormatting>
  <x:dataValidations count="3">
    <x:dataValidation type="list" sqref="D5:D44">
      <x:formula1>"REQUESTER,AREA_SUPERVISOR,HSE_OFFICER,HSE_MANAGER"</x:formula1>
    </x:dataValidation>
    <x:dataValidation type="list" sqref="F5:F44">
      <x:formula1>"PENDING,APPROVED,REJECTED"</x:formula1>
    </x:dataValidation>
    <x:dataValidation type="list" sqref="J5:J44">
      <x:formula1>"PENDING,COMPLETED,SKIPPED"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fd4f330f684c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3" hidden="0" customWidth="1"/>
    <x:col min="7" max="7" width="18" hidden="0" customWidth="1"/>
    <x:col min="8" max="8" width="20" hidden="0" customWidth="1"/>
    <x:col min="9" max="9" width="18" hidden="0" customWidth="1"/>
  </x:cols>
  <x:sheetData>
    <x:row r="1" ht="32" customHeight="1">
      <x:c r="A1" s="17" t="str">
        <x:v>ESCA HSE | Permit_Checklist</x:v>
      </x:c>
      <x:c r="B1" s="17" t="str">
        <x:v>ESCA HSE | Permit_Checklist</x:v>
      </x:c>
      <x:c r="C1" s="17" t="str">
        <x:v>ESCA HSE | Permit_Checklist</x:v>
      </x:c>
      <x:c r="D1" s="17" t="str">
        <x:v>ESCA HSE | Permit_Checklist</x:v>
      </x:c>
      <x:c r="E1" s="17" t="str">
        <x:v>ESCA HSE | Permit_Checklist</x:v>
      </x:c>
      <x:c r="F1" s="17" t="str">
        <x:v>ESCA HSE | Permit_Checklist</x:v>
      </x:c>
      <x:c r="G1" s="17" t="str">
        <x:v>ESCA HSE | Permit_Checklist</x:v>
      </x:c>
      <x:c r="H1" s="17" t="str">
        <x:v>ESCA HSE | Permit_Checklist</x:v>
      </x:c>
      <x:c r="I1" s="17" t="str">
        <x:v>ESCA HSE | Permit_Checklist</x:v>
      </x:c>
    </x:row>
    <x:row r="2" ht="28" customHeight="1">
      <x:c r="A2" s="21" t="str">
        <x:v>Mandatory PTW checklist responses | Owner: Member 1 + Member 3 | Synthetic sample data | Snapshot: 2026-08-13</x:v>
      </x:c>
      <x:c r="B2" s="21" t="str">
        <x:v>Mandatory PTW checklist responses | Owner: Member 1 + Member 3 | Synthetic sample data | Snapshot: 2026-08-13</x:v>
      </x:c>
      <x:c r="C2" s="21" t="str">
        <x:v>Mandatory PTW checklist responses | Owner: Member 1 + Member 3 | Synthetic sample data | Snapshot: 2026-08-13</x:v>
      </x:c>
      <x:c r="D2" s="21" t="str">
        <x:v>Mandatory PTW checklist responses | Owner: Member 1 + Member 3 | Synthetic sample data | Snapshot: 2026-08-13</x:v>
      </x:c>
      <x:c r="E2" s="21" t="str">
        <x:v>Mandatory PTW checklist responses | Owner: Member 1 + Member 3 | Synthetic sample data | Snapshot: 2026-08-13</x:v>
      </x:c>
      <x:c r="F2" s="21" t="str">
        <x:v>Mandatory PTW checklist responses | Owner: Member 1 + Member 3 | Synthetic sample data | Snapshot: 2026-08-13</x:v>
      </x:c>
      <x:c r="G2" s="21" t="str">
        <x:v>Mandatory PTW checklist responses | Owner: Member 1 + Member 3 | Synthetic sample data | Snapshot: 2026-08-13</x:v>
      </x:c>
      <x:c r="H2" s="21" t="str">
        <x:v>Mandatory PTW checklist responses | Owner: Member 1 + Member 3 | Synthetic sample data | Snapshot: 2026-08-13</x:v>
      </x:c>
      <x:c r="I2" s="21" t="str">
        <x:v>Mandatory PTW checklist responses | Owner: Member 1 + Member 3 | Synthetic sample data | Snapshot: 2026-08-13</x:v>
      </x:c>
    </x:row>
    <x:row r="4" ht="30" customHeight="1">
      <x:c r="A4" s="26" t="str">
        <x:v>checklist_id</x:v>
      </x:c>
      <x:c r="B4" s="26" t="str">
        <x:v>permit_id</x:v>
      </x:c>
      <x:c r="C4" s="26" t="str">
        <x:v>item_code</x:v>
      </x:c>
      <x:c r="D4" s="26" t="str">
        <x:v>item_text</x:v>
      </x:c>
      <x:c r="E4" s="26" t="str">
        <x:v>response</x:v>
      </x:c>
      <x:c r="F4" s="26" t="str">
        <x:v>mandatory_flag</x:v>
      </x:c>
      <x:c r="G4" s="26" t="str">
        <x:v>verified_by</x:v>
      </x:c>
      <x:c r="H4" s="26" t="str">
        <x:v>verified_at</x:v>
      </x:c>
      <x:c r="I4" s="26" t="str">
        <x:v>evidence_ref</x:v>
      </x:c>
    </x:row>
    <x:row r="5" ht="24" customHeight="1">
      <x:c r="A5" s="31" t="str">
        <x:v>PCHK-0001</x:v>
      </x:c>
      <x:c r="B5" s="31" t="str">
        <x:v>PTW-2026-0412</x:v>
      </x:c>
      <x:c r="C5" s="31" t="str">
        <x:v>JSA_ATTACHED</x:v>
      </x:c>
      <x:c r="D5" s="33" t="str">
        <x:v>Approved JSA is attached</x:v>
      </x:c>
      <x:c r="E5" s="31" t="str">
        <x:v>YES</x:v>
      </x:c>
      <x:c r="F5" s="53" t="b">
        <x:v>1</x:v>
      </x:c>
      <x:c r="G5" s="31" t="str">
        <x:v>EMP-010</x:v>
      </x:c>
      <x:c r="H5" s="32" t="n">
        <x:v>46247.18402777778</x:v>
      </x:c>
      <x:c r="I5" s="31"/>
    </x:row>
    <x:row r="6" ht="24" customHeight="1">
      <x:c r="A6" s="36" t="str">
        <x:v>PCHK-0002</x:v>
      </x:c>
      <x:c r="B6" s="36" t="str">
        <x:v>PTW-2026-0412</x:v>
      </x:c>
      <x:c r="C6" s="36" t="str">
        <x:v>AREA_ISOLATED</x:v>
      </x:c>
      <x:c r="D6" s="38" t="str">
        <x:v>Work area is isolated and signed</x:v>
      </x:c>
      <x:c r="E6" s="36" t="str">
        <x:v>YES</x:v>
      </x:c>
      <x:c r="F6" s="54" t="b">
        <x:v>1</x:v>
      </x:c>
      <x:c r="G6" s="36" t="str">
        <x:v>EMP-010</x:v>
      </x:c>
      <x:c r="H6" s="37" t="n">
        <x:v>46247.18402777778</x:v>
      </x:c>
      <x:c r="I6" s="36"/>
    </x:row>
    <x:row r="7" ht="24" customHeight="1">
      <x:c r="A7" s="36" t="str">
        <x:v>PCHK-0003</x:v>
      </x:c>
      <x:c r="B7" s="36" t="str">
        <x:v>PTW-2026-0412</x:v>
      </x:c>
      <x:c r="C7" s="36" t="str">
        <x:v>PPE_VERIFIED</x:v>
      </x:c>
      <x:c r="D7" s="38" t="str">
        <x:v>Required PPE is available</x:v>
      </x:c>
      <x:c r="E7" s="36" t="str">
        <x:v>YES</x:v>
      </x:c>
      <x:c r="F7" s="54" t="b">
        <x:v>1</x:v>
      </x:c>
      <x:c r="G7" s="36" t="str">
        <x:v>EMP-010</x:v>
      </x:c>
      <x:c r="H7" s="37" t="n">
        <x:v>46247.18402777778</x:v>
      </x:c>
      <x:c r="I7" s="36"/>
    </x:row>
    <x:row r="8" ht="24" customHeight="1">
      <x:c r="A8" s="36" t="str">
        <x:v>PCHK-0004</x:v>
      </x:c>
      <x:c r="B8" s="36" t="str">
        <x:v>PTW-2026-0412</x:v>
      </x:c>
      <x:c r="C8" s="36" t="str">
        <x:v>EMERGENCY_CONTROLS</x:v>
      </x:c>
      <x:c r="D8" s="38" t="str">
        <x:v>Emergency controls are ready</x:v>
      </x:c>
      <x:c r="E8" s="36" t="str">
        <x:v>YES</x:v>
      </x:c>
      <x:c r="F8" s="54" t="b">
        <x:v>1</x:v>
      </x:c>
      <x:c r="G8" s="36" t="str">
        <x:v>EMP-010</x:v>
      </x:c>
      <x:c r="H8" s="37" t="n">
        <x:v>46247.18402777778</x:v>
      </x:c>
      <x:c r="I8" s="36"/>
    </x:row>
    <x:row r="9" ht="24" customHeight="1">
      <x:c r="A9" s="36" t="str">
        <x:v>PCHK-0005</x:v>
      </x:c>
      <x:c r="B9" s="36" t="str">
        <x:v>PTW-2026-0411</x:v>
      </x:c>
      <x:c r="C9" s="36" t="str">
        <x:v>JSA_ATTACHED</x:v>
      </x:c>
      <x:c r="D9" s="38" t="str">
        <x:v>Approved JSA is attached</x:v>
      </x:c>
      <x:c r="E9" s="36" t="str">
        <x:v>YES</x:v>
      </x:c>
      <x:c r="F9" s="54" t="b">
        <x:v>1</x:v>
      </x:c>
      <x:c r="G9" s="36" t="str">
        <x:v>EMP-010</x:v>
      </x:c>
      <x:c r="H9" s="37" t="n">
        <x:v>46247.14236111111</x:v>
      </x:c>
      <x:c r="I9" s="36"/>
    </x:row>
    <x:row r="10" ht="24" customHeight="1">
      <x:c r="A10" s="36" t="str">
        <x:v>PCHK-0006</x:v>
      </x:c>
      <x:c r="B10" s="36" t="str">
        <x:v>PTW-2026-0411</x:v>
      </x:c>
      <x:c r="C10" s="36" t="str">
        <x:v>AREA_ISOLATED</x:v>
      </x:c>
      <x:c r="D10" s="38" t="str">
        <x:v>Work area is isolated and signed</x:v>
      </x:c>
      <x:c r="E10" s="36" t="str">
        <x:v>YES</x:v>
      </x:c>
      <x:c r="F10" s="54" t="b">
        <x:v>1</x:v>
      </x:c>
      <x:c r="G10" s="36" t="str">
        <x:v>EMP-010</x:v>
      </x:c>
      <x:c r="H10" s="37" t="n">
        <x:v>46247.14236111111</x:v>
      </x:c>
      <x:c r="I10" s="36"/>
    </x:row>
    <x:row r="11" ht="24" customHeight="1">
      <x:c r="A11" s="36" t="str">
        <x:v>PCHK-0007</x:v>
      </x:c>
      <x:c r="B11" s="36" t="str">
        <x:v>PTW-2026-0411</x:v>
      </x:c>
      <x:c r="C11" s="36" t="str">
        <x:v>PPE_VERIFIED</x:v>
      </x:c>
      <x:c r="D11" s="38" t="str">
        <x:v>Required PPE is available</x:v>
      </x:c>
      <x:c r="E11" s="36" t="str">
        <x:v>YES</x:v>
      </x:c>
      <x:c r="F11" s="54" t="b">
        <x:v>1</x:v>
      </x:c>
      <x:c r="G11" s="36" t="str">
        <x:v>EMP-010</x:v>
      </x:c>
      <x:c r="H11" s="37" t="n">
        <x:v>46247.14236111111</x:v>
      </x:c>
      <x:c r="I11" s="36"/>
    </x:row>
    <x:row r="12" ht="24" customHeight="1">
      <x:c r="A12" s="36" t="str">
        <x:v>PCHK-0008</x:v>
      </x:c>
      <x:c r="B12" s="36" t="str">
        <x:v>PTW-2026-0411</x:v>
      </x:c>
      <x:c r="C12" s="36" t="str">
        <x:v>EMERGENCY_CONTROLS</x:v>
      </x:c>
      <x:c r="D12" s="38" t="str">
        <x:v>Emergency controls are ready</x:v>
      </x:c>
      <x:c r="E12" s="36" t="str">
        <x:v>YES</x:v>
      </x:c>
      <x:c r="F12" s="54" t="b">
        <x:v>1</x:v>
      </x:c>
      <x:c r="G12" s="36" t="str">
        <x:v>EMP-010</x:v>
      </x:c>
      <x:c r="H12" s="37" t="n">
        <x:v>46247.14236111111</x:v>
      </x:c>
      <x:c r="I12" s="36"/>
    </x:row>
    <x:row r="13" ht="24" customHeight="1">
      <x:c r="A13" s="36" t="str">
        <x:v>PCHK-0009</x:v>
      </x:c>
      <x:c r="B13" s="36" t="str">
        <x:v>PTW-2026-0410</x:v>
      </x:c>
      <x:c r="C13" s="36" t="str">
        <x:v>JSA_ATTACHED</x:v>
      </x:c>
      <x:c r="D13" s="38" t="str">
        <x:v>Approved JSA is attached</x:v>
      </x:c>
      <x:c r="E13" s="36" t="str">
        <x:v>YES</x:v>
      </x:c>
      <x:c r="F13" s="54" t="b">
        <x:v>1</x:v>
      </x:c>
      <x:c r="G13" s="36" t="str">
        <x:v>EMP-011</x:v>
      </x:c>
      <x:c r="H13" s="37" t="n">
        <x:v>46247.225694444445</x:v>
      </x:c>
      <x:c r="I13" s="36"/>
    </x:row>
    <x:row r="14" ht="24" customHeight="1">
      <x:c r="A14" s="36" t="str">
        <x:v>PCHK-0010</x:v>
      </x:c>
      <x:c r="B14" s="36" t="str">
        <x:v>PTW-2026-0410</x:v>
      </x:c>
      <x:c r="C14" s="36" t="str">
        <x:v>AREA_ISOLATED</x:v>
      </x:c>
      <x:c r="D14" s="38" t="str">
        <x:v>Work area is isolated and signed</x:v>
      </x:c>
      <x:c r="E14" s="36" t="str">
        <x:v>YES</x:v>
      </x:c>
      <x:c r="F14" s="54" t="b">
        <x:v>1</x:v>
      </x:c>
      <x:c r="G14" s="36" t="str">
        <x:v>EMP-011</x:v>
      </x:c>
      <x:c r="H14" s="37" t="n">
        <x:v>46247.225694444445</x:v>
      </x:c>
      <x:c r="I14" s="36"/>
    </x:row>
    <x:row r="15" ht="24" customHeight="1">
      <x:c r="A15" s="36" t="str">
        <x:v>PCHK-0011</x:v>
      </x:c>
      <x:c r="B15" s="36" t="str">
        <x:v>PTW-2026-0410</x:v>
      </x:c>
      <x:c r="C15" s="36" t="str">
        <x:v>PPE_VERIFIED</x:v>
      </x:c>
      <x:c r="D15" s="38" t="str">
        <x:v>Required PPE is available</x:v>
      </x:c>
      <x:c r="E15" s="36" t="str">
        <x:v>YES</x:v>
      </x:c>
      <x:c r="F15" s="54" t="b">
        <x:v>1</x:v>
      </x:c>
      <x:c r="G15" s="36" t="str">
        <x:v>EMP-011</x:v>
      </x:c>
      <x:c r="H15" s="37" t="n">
        <x:v>46247.225694444445</x:v>
      </x:c>
      <x:c r="I15" s="36"/>
    </x:row>
    <x:row r="16" ht="24" customHeight="1">
      <x:c r="A16" s="36" t="str">
        <x:v>PCHK-0012</x:v>
      </x:c>
      <x:c r="B16" s="36" t="str">
        <x:v>PTW-2026-0410</x:v>
      </x:c>
      <x:c r="C16" s="36" t="str">
        <x:v>EMERGENCY_CONTROLS</x:v>
      </x:c>
      <x:c r="D16" s="38" t="str">
        <x:v>Emergency controls are ready</x:v>
      </x:c>
      <x:c r="E16" s="36" t="str">
        <x:v>YES</x:v>
      </x:c>
      <x:c r="F16" s="54" t="b">
        <x:v>1</x:v>
      </x:c>
      <x:c r="G16" s="36" t="str">
        <x:v>EMP-011</x:v>
      </x:c>
      <x:c r="H16" s="37" t="n">
        <x:v>46247.225694444445</x:v>
      </x:c>
      <x:c r="I16" s="36"/>
    </x:row>
    <x:row r="17" ht="24" customHeight="1">
      <x:c r="A17" s="36" t="str">
        <x:v>PCHK-0013</x:v>
      </x:c>
      <x:c r="B17" s="36" t="str">
        <x:v>PTW-2026-0409</x:v>
      </x:c>
      <x:c r="C17" s="36" t="str">
        <x:v>JSA_ATTACHED</x:v>
      </x:c>
      <x:c r="D17" s="38" t="str">
        <x:v>Approved JSA is attached</x:v>
      </x:c>
      <x:c r="E17" s="36" t="str">
        <x:v>YES</x:v>
      </x:c>
      <x:c r="F17" s="54" t="b">
        <x:v>1</x:v>
      </x:c>
      <x:c r="G17" s="36" t="str">
        <x:v>EMP-012</x:v>
      </x:c>
      <x:c r="H17" s="37" t="n">
        <x:v>46247.100694444445</x:v>
      </x:c>
      <x:c r="I17" s="36"/>
    </x:row>
    <x:row r="18" ht="24" customHeight="1">
      <x:c r="A18" s="36" t="str">
        <x:v>PCHK-0014</x:v>
      </x:c>
      <x:c r="B18" s="36" t="str">
        <x:v>PTW-2026-0409</x:v>
      </x:c>
      <x:c r="C18" s="36" t="str">
        <x:v>AREA_ISOLATED</x:v>
      </x:c>
      <x:c r="D18" s="38" t="str">
        <x:v>Work area is isolated and signed</x:v>
      </x:c>
      <x:c r="E18" s="36" t="str">
        <x:v>YES</x:v>
      </x:c>
      <x:c r="F18" s="54" t="b">
        <x:v>1</x:v>
      </x:c>
      <x:c r="G18" s="36" t="str">
        <x:v>EMP-012</x:v>
      </x:c>
      <x:c r="H18" s="37" t="n">
        <x:v>46247.100694444445</x:v>
      </x:c>
      <x:c r="I18" s="36"/>
    </x:row>
    <x:row r="19" ht="24" customHeight="1">
      <x:c r="A19" s="36" t="str">
        <x:v>PCHK-0015</x:v>
      </x:c>
      <x:c r="B19" s="36" t="str">
        <x:v>PTW-2026-0409</x:v>
      </x:c>
      <x:c r="C19" s="36" t="str">
        <x:v>PPE_VERIFIED</x:v>
      </x:c>
      <x:c r="D19" s="38" t="str">
        <x:v>Required PPE is available</x:v>
      </x:c>
      <x:c r="E19" s="36" t="str">
        <x:v>YES</x:v>
      </x:c>
      <x:c r="F19" s="54" t="b">
        <x:v>1</x:v>
      </x:c>
      <x:c r="G19" s="36" t="str">
        <x:v>EMP-012</x:v>
      </x:c>
      <x:c r="H19" s="37" t="n">
        <x:v>46247.100694444445</x:v>
      </x:c>
      <x:c r="I19" s="36"/>
    </x:row>
    <x:row r="20" ht="24" customHeight="1">
      <x:c r="A20" s="36" t="str">
        <x:v>PCHK-0016</x:v>
      </x:c>
      <x:c r="B20" s="36" t="str">
        <x:v>PTW-2026-0409</x:v>
      </x:c>
      <x:c r="C20" s="36" t="str">
        <x:v>EMERGENCY_CONTROLS</x:v>
      </x:c>
      <x:c r="D20" s="38" t="str">
        <x:v>Emergency controls are ready</x:v>
      </x:c>
      <x:c r="E20" s="36" t="str">
        <x:v>YES</x:v>
      </x:c>
      <x:c r="F20" s="54" t="b">
        <x:v>1</x:v>
      </x:c>
      <x:c r="G20" s="36" t="str">
        <x:v>EMP-012</x:v>
      </x:c>
      <x:c r="H20" s="37" t="n">
        <x:v>46247.100694444445</x:v>
      </x:c>
      <x:c r="I20" s="36"/>
    </x:row>
    <x:row r="21" ht="24" customHeight="1">
      <x:c r="A21" s="36" t="str">
        <x:v>PCHK-0017</x:v>
      </x:c>
      <x:c r="B21" s="36" t="str">
        <x:v>PTW-2026-0408</x:v>
      </x:c>
      <x:c r="C21" s="36" t="str">
        <x:v>JSA_ATTACHED</x:v>
      </x:c>
      <x:c r="D21" s="38" t="str">
        <x:v>Approved JSA is attached</x:v>
      </x:c>
      <x:c r="E21" s="36" t="str">
        <x:v>YES</x:v>
      </x:c>
      <x:c r="F21" s="54" t="b">
        <x:v>1</x:v>
      </x:c>
      <x:c r="G21" s="36" t="str">
        <x:v>EMP-010</x:v>
      </x:c>
      <x:c r="H21" s="37" t="n">
        <x:v>46247.26736111111</x:v>
      </x:c>
      <x:c r="I21" s="36"/>
    </x:row>
    <x:row r="22" ht="24" customHeight="1">
      <x:c r="A22" s="36" t="str">
        <x:v>PCHK-0018</x:v>
      </x:c>
      <x:c r="B22" s="36" t="str">
        <x:v>PTW-2026-0408</x:v>
      </x:c>
      <x:c r="C22" s="36" t="str">
        <x:v>AREA_ISOLATED</x:v>
      </x:c>
      <x:c r="D22" s="38" t="str">
        <x:v>Work area is isolated and signed</x:v>
      </x:c>
      <x:c r="E22" s="36" t="str">
        <x:v>YES</x:v>
      </x:c>
      <x:c r="F22" s="54" t="b">
        <x:v>1</x:v>
      </x:c>
      <x:c r="G22" s="36" t="str">
        <x:v>EMP-010</x:v>
      </x:c>
      <x:c r="H22" s="37" t="n">
        <x:v>46247.26736111111</x:v>
      </x:c>
      <x:c r="I22" s="36"/>
    </x:row>
    <x:row r="23" ht="24" customHeight="1">
      <x:c r="A23" s="36" t="str">
        <x:v>PCHK-0019</x:v>
      </x:c>
      <x:c r="B23" s="36" t="str">
        <x:v>PTW-2026-0408</x:v>
      </x:c>
      <x:c r="C23" s="36" t="str">
        <x:v>PPE_VERIFIED</x:v>
      </x:c>
      <x:c r="D23" s="38" t="str">
        <x:v>Required PPE is available</x:v>
      </x:c>
      <x:c r="E23" s="36" t="str">
        <x:v>YES</x:v>
      </x:c>
      <x:c r="F23" s="54" t="b">
        <x:v>1</x:v>
      </x:c>
      <x:c r="G23" s="36" t="str">
        <x:v>EMP-010</x:v>
      </x:c>
      <x:c r="H23" s="37" t="n">
        <x:v>46247.26736111111</x:v>
      </x:c>
      <x:c r="I23" s="36"/>
    </x:row>
    <x:row r="24" ht="24" customHeight="1">
      <x:c r="A24" s="36" t="str">
        <x:v>PCHK-0020</x:v>
      </x:c>
      <x:c r="B24" s="36" t="str">
        <x:v>PTW-2026-0408</x:v>
      </x:c>
      <x:c r="C24" s="36" t="str">
        <x:v>EMERGENCY_CONTROLS</x:v>
      </x:c>
      <x:c r="D24" s="38" t="str">
        <x:v>Emergency controls are ready</x:v>
      </x:c>
      <x:c r="E24" s="36" t="str">
        <x:v>YES</x:v>
      </x:c>
      <x:c r="F24" s="54" t="b">
        <x:v>1</x:v>
      </x:c>
      <x:c r="G24" s="36" t="str">
        <x:v>EMP-010</x:v>
      </x:c>
      <x:c r="H24" s="37" t="n">
        <x:v>46247.26736111111</x:v>
      </x:c>
      <x:c r="I24" s="36"/>
    </x:row>
    <x:row r="25" ht="24" customHeight="1">
      <x:c r="A25" s="36" t="str">
        <x:v>PCHK-0021</x:v>
      </x:c>
      <x:c r="B25" s="36" t="str">
        <x:v>PTW-2026-0407</x:v>
      </x:c>
      <x:c r="C25" s="36" t="str">
        <x:v>JSA_ATTACHED</x:v>
      </x:c>
      <x:c r="D25" s="38" t="str">
        <x:v>Approved JSA is attached</x:v>
      </x:c>
      <x:c r="E25" s="36" t="str">
        <x:v>NO</x:v>
      </x:c>
      <x:c r="F25" s="54" t="b">
        <x:v>1</x:v>
      </x:c>
      <x:c r="G25" s="36" t="str">
        <x:v>EMP-011</x:v>
      </x:c>
      <x:c r="H25" s="37" t="n">
        <x:v>46247.18402777778</x:v>
      </x:c>
      <x:c r="I25" s="36"/>
    </x:row>
    <x:row r="26" ht="24" customHeight="1">
      <x:c r="A26" s="36" t="str">
        <x:v>PCHK-0022</x:v>
      </x:c>
      <x:c r="B26" s="36" t="str">
        <x:v>PTW-2026-0407</x:v>
      </x:c>
      <x:c r="C26" s="36" t="str">
        <x:v>AREA_ISOLATED</x:v>
      </x:c>
      <x:c r="D26" s="38" t="str">
        <x:v>Work area is isolated and signed</x:v>
      </x:c>
      <x:c r="E26" s="36" t="str">
        <x:v>YES</x:v>
      </x:c>
      <x:c r="F26" s="54" t="b">
        <x:v>1</x:v>
      </x:c>
      <x:c r="G26" s="36" t="str">
        <x:v>EMP-011</x:v>
      </x:c>
      <x:c r="H26" s="37" t="n">
        <x:v>46247.18402777778</x:v>
      </x:c>
      <x:c r="I26" s="36"/>
    </x:row>
    <x:row r="27" ht="24" customHeight="1">
      <x:c r="A27" s="36" t="str">
        <x:v>PCHK-0023</x:v>
      </x:c>
      <x:c r="B27" s="36" t="str">
        <x:v>PTW-2026-0407</x:v>
      </x:c>
      <x:c r="C27" s="36" t="str">
        <x:v>PPE_VERIFIED</x:v>
      </x:c>
      <x:c r="D27" s="38" t="str">
        <x:v>Required PPE is available</x:v>
      </x:c>
      <x:c r="E27" s="36" t="str">
        <x:v>YES</x:v>
      </x:c>
      <x:c r="F27" s="54" t="b">
        <x:v>1</x:v>
      </x:c>
      <x:c r="G27" s="36" t="str">
        <x:v>EMP-011</x:v>
      </x:c>
      <x:c r="H27" s="37" t="n">
        <x:v>46247.18402777778</x:v>
      </x:c>
      <x:c r="I27" s="36"/>
    </x:row>
    <x:row r="28" ht="24" customHeight="1">
      <x:c r="A28" s="36" t="str">
        <x:v>PCHK-0024</x:v>
      </x:c>
      <x:c r="B28" s="36" t="str">
        <x:v>PTW-2026-0407</x:v>
      </x:c>
      <x:c r="C28" s="36" t="str">
        <x:v>EMERGENCY_CONTROLS</x:v>
      </x:c>
      <x:c r="D28" s="38" t="str">
        <x:v>Emergency controls are ready</x:v>
      </x:c>
      <x:c r="E28" s="36" t="str">
        <x:v>YES</x:v>
      </x:c>
      <x:c r="F28" s="54" t="b">
        <x:v>1</x:v>
      </x:c>
      <x:c r="G28" s="36" t="str">
        <x:v>EMP-011</x:v>
      </x:c>
      <x:c r="H28" s="37" t="n">
        <x:v>46247.18402777778</x:v>
      </x:c>
      <x:c r="I28" s="36"/>
    </x:row>
    <x:row r="29" ht="24" customHeight="1">
      <x:c r="A29" s="36" t="str">
        <x:v>PCHK-0025</x:v>
      </x:c>
      <x:c r="B29" s="36" t="str">
        <x:v>PTW-2026-0406</x:v>
      </x:c>
      <x:c r="C29" s="36" t="str">
        <x:v>JSA_ATTACHED</x:v>
      </x:c>
      <x:c r="D29" s="38" t="str">
        <x:v>Approved JSA is attached</x:v>
      </x:c>
      <x:c r="E29" s="36" t="str">
        <x:v>YES</x:v>
      </x:c>
      <x:c r="F29" s="54" t="b">
        <x:v>1</x:v>
      </x:c>
      <x:c r="G29" s="36" t="str">
        <x:v>EMP-010</x:v>
      </x:c>
      <x:c r="H29" s="37" t="n">
        <x:v>46246.18402777778</x:v>
      </x:c>
      <x:c r="I29" s="36"/>
    </x:row>
    <x:row r="30" ht="24" customHeight="1">
      <x:c r="A30" s="36" t="str">
        <x:v>PCHK-0026</x:v>
      </x:c>
      <x:c r="B30" s="36" t="str">
        <x:v>PTW-2026-0406</x:v>
      </x:c>
      <x:c r="C30" s="36" t="str">
        <x:v>AREA_ISOLATED</x:v>
      </x:c>
      <x:c r="D30" s="38" t="str">
        <x:v>Work area is isolated and signed</x:v>
      </x:c>
      <x:c r="E30" s="36" t="str">
        <x:v>YES</x:v>
      </x:c>
      <x:c r="F30" s="54" t="b">
        <x:v>1</x:v>
      </x:c>
      <x:c r="G30" s="36" t="str">
        <x:v>EMP-010</x:v>
      </x:c>
      <x:c r="H30" s="37" t="n">
        <x:v>46246.18402777778</x:v>
      </x:c>
      <x:c r="I30" s="36"/>
    </x:row>
    <x:row r="31" ht="24" customHeight="1">
      <x:c r="A31" s="36" t="str">
        <x:v>PCHK-0027</x:v>
      </x:c>
      <x:c r="B31" s="36" t="str">
        <x:v>PTW-2026-0406</x:v>
      </x:c>
      <x:c r="C31" s="36" t="str">
        <x:v>PPE_VERIFIED</x:v>
      </x:c>
      <x:c r="D31" s="38" t="str">
        <x:v>Required PPE is available</x:v>
      </x:c>
      <x:c r="E31" s="36" t="str">
        <x:v>YES</x:v>
      </x:c>
      <x:c r="F31" s="54" t="b">
        <x:v>1</x:v>
      </x:c>
      <x:c r="G31" s="36" t="str">
        <x:v>EMP-010</x:v>
      </x:c>
      <x:c r="H31" s="37" t="n">
        <x:v>46246.18402777778</x:v>
      </x:c>
      <x:c r="I31" s="36"/>
    </x:row>
    <x:row r="32" ht="24" customHeight="1">
      <x:c r="A32" s="36" t="str">
        <x:v>PCHK-0028</x:v>
      </x:c>
      <x:c r="B32" s="36" t="str">
        <x:v>PTW-2026-0406</x:v>
      </x:c>
      <x:c r="C32" s="36" t="str">
        <x:v>EMERGENCY_CONTROLS</x:v>
      </x:c>
      <x:c r="D32" s="38" t="str">
        <x:v>Emergency controls are ready</x:v>
      </x:c>
      <x:c r="E32" s="36" t="str">
        <x:v>YES</x:v>
      </x:c>
      <x:c r="F32" s="54" t="b">
        <x:v>1</x:v>
      </x:c>
      <x:c r="G32" s="36" t="str">
        <x:v>EMP-010</x:v>
      </x:c>
      <x:c r="H32" s="37" t="n">
        <x:v>46246.18402777778</x:v>
      </x:c>
      <x:c r="I32" s="36"/>
    </x:row>
    <x:row r="33" ht="24" customHeight="1">
      <x:c r="A33" s="36" t="str">
        <x:v>PCHK-0029</x:v>
      </x:c>
      <x:c r="B33" s="36" t="str">
        <x:v>PTW-2026-0405</x:v>
      </x:c>
      <x:c r="C33" s="36" t="str">
        <x:v>JSA_ATTACHED</x:v>
      </x:c>
      <x:c r="D33" s="38" t="str">
        <x:v>Approved JSA is attached</x:v>
      </x:c>
      <x:c r="E33" s="36" t="str">
        <x:v>YES</x:v>
      </x:c>
      <x:c r="F33" s="54" t="b">
        <x:v>1</x:v>
      </x:c>
      <x:c r="G33" s="36" t="str">
        <x:v>EMP-012</x:v>
      </x:c>
      <x:c r="H33" s="37" t="n">
        <x:v>46246.14236111111</x:v>
      </x:c>
      <x:c r="I33" s="36"/>
    </x:row>
    <x:row r="34" ht="24" customHeight="1">
      <x:c r="A34" s="36" t="str">
        <x:v>PCHK-0030</x:v>
      </x:c>
      <x:c r="B34" s="36" t="str">
        <x:v>PTW-2026-0405</x:v>
      </x:c>
      <x:c r="C34" s="36" t="str">
        <x:v>AREA_ISOLATED</x:v>
      </x:c>
      <x:c r="D34" s="38" t="str">
        <x:v>Work area is isolated and signed</x:v>
      </x:c>
      <x:c r="E34" s="36" t="str">
        <x:v>YES</x:v>
      </x:c>
      <x:c r="F34" s="54" t="b">
        <x:v>1</x:v>
      </x:c>
      <x:c r="G34" s="36" t="str">
        <x:v>EMP-012</x:v>
      </x:c>
      <x:c r="H34" s="37" t="n">
        <x:v>46246.14236111111</x:v>
      </x:c>
      <x:c r="I34" s="36"/>
    </x:row>
    <x:row r="35" ht="24" customHeight="1">
      <x:c r="A35" s="36" t="str">
        <x:v>PCHK-0031</x:v>
      </x:c>
      <x:c r="B35" s="36" t="str">
        <x:v>PTW-2026-0405</x:v>
      </x:c>
      <x:c r="C35" s="36" t="str">
        <x:v>PPE_VERIFIED</x:v>
      </x:c>
      <x:c r="D35" s="38" t="str">
        <x:v>Required PPE is available</x:v>
      </x:c>
      <x:c r="E35" s="36" t="str">
        <x:v>YES</x:v>
      </x:c>
      <x:c r="F35" s="54" t="b">
        <x:v>1</x:v>
      </x:c>
      <x:c r="G35" s="36" t="str">
        <x:v>EMP-012</x:v>
      </x:c>
      <x:c r="H35" s="37" t="n">
        <x:v>46246.14236111111</x:v>
      </x:c>
      <x:c r="I35" s="36"/>
    </x:row>
    <x:row r="36" ht="24" customHeight="1">
      <x:c r="A36" s="36" t="str">
        <x:v>PCHK-0032</x:v>
      </x:c>
      <x:c r="B36" s="36" t="str">
        <x:v>PTW-2026-0405</x:v>
      </x:c>
      <x:c r="C36" s="36" t="str">
        <x:v>EMERGENCY_CONTROLS</x:v>
      </x:c>
      <x:c r="D36" s="38" t="str">
        <x:v>Emergency controls are ready</x:v>
      </x:c>
      <x:c r="E36" s="36" t="str">
        <x:v>YES</x:v>
      </x:c>
      <x:c r="F36" s="54" t="b">
        <x:v>1</x:v>
      </x:c>
      <x:c r="G36" s="36" t="str">
        <x:v>EMP-012</x:v>
      </x:c>
      <x:c r="H36" s="37" t="n">
        <x:v>46246.14236111111</x:v>
      </x:c>
      <x:c r="I36" s="36"/>
    </x:row>
    <x:row r="37" ht="24" customHeight="1">
      <x:c r="A37" s="36" t="str">
        <x:v>PCHK-0033</x:v>
      </x:c>
      <x:c r="B37" s="36" t="str">
        <x:v>PTW-2026-0404</x:v>
      </x:c>
      <x:c r="C37" s="36" t="str">
        <x:v>JSA_ATTACHED</x:v>
      </x:c>
      <x:c r="D37" s="38" t="str">
        <x:v>Approved JSA is attached</x:v>
      </x:c>
      <x:c r="E37" s="36" t="str">
        <x:v>NOT_CHECKED</x:v>
      </x:c>
      <x:c r="F37" s="54" t="b">
        <x:v>1</x:v>
      </x:c>
      <x:c r="G37" s="36"/>
      <x:c r="H37" s="37"/>
      <x:c r="I37" s="36"/>
    </x:row>
    <x:row r="38" ht="24" customHeight="1">
      <x:c r="A38" s="36" t="str">
        <x:v>PCHK-0034</x:v>
      </x:c>
      <x:c r="B38" s="36" t="str">
        <x:v>PTW-2026-0404</x:v>
      </x:c>
      <x:c r="C38" s="36" t="str">
        <x:v>AREA_ISOLATED</x:v>
      </x:c>
      <x:c r="D38" s="38" t="str">
        <x:v>Work area is isolated and signed</x:v>
      </x:c>
      <x:c r="E38" s="36" t="str">
        <x:v>NOT_CHECKED</x:v>
      </x:c>
      <x:c r="F38" s="54" t="b">
        <x:v>1</x:v>
      </x:c>
      <x:c r="G38" s="36"/>
      <x:c r="H38" s="37"/>
      <x:c r="I38" s="36"/>
    </x:row>
    <x:row r="39" ht="24" customHeight="1">
      <x:c r="A39" s="36" t="str">
        <x:v>PCHK-0035</x:v>
      </x:c>
      <x:c r="B39" s="36" t="str">
        <x:v>PTW-2026-0404</x:v>
      </x:c>
      <x:c r="C39" s="36" t="str">
        <x:v>PPE_VERIFIED</x:v>
      </x:c>
      <x:c r="D39" s="38" t="str">
        <x:v>Required PPE is available</x:v>
      </x:c>
      <x:c r="E39" s="36" t="str">
        <x:v>NOT_CHECKED</x:v>
      </x:c>
      <x:c r="F39" s="54" t="b">
        <x:v>1</x:v>
      </x:c>
      <x:c r="G39" s="36"/>
      <x:c r="H39" s="37"/>
      <x:c r="I39" s="36"/>
    </x:row>
    <x:row r="40" ht="24" customHeight="1">
      <x:c r="A40" s="36" t="str">
        <x:v>PCHK-0036</x:v>
      </x:c>
      <x:c r="B40" s="36" t="str">
        <x:v>PTW-2026-0404</x:v>
      </x:c>
      <x:c r="C40" s="36" t="str">
        <x:v>EMERGENCY_CONTROLS</x:v>
      </x:c>
      <x:c r="D40" s="38" t="str">
        <x:v>Emergency controls are ready</x:v>
      </x:c>
      <x:c r="E40" s="36" t="str">
        <x:v>NOT_CHECKED</x:v>
      </x:c>
      <x:c r="F40" s="54" t="b">
        <x:v>1</x:v>
      </x:c>
      <x:c r="G40" s="36"/>
      <x:c r="H40" s="37"/>
      <x:c r="I40" s="36"/>
    </x:row>
    <x:row r="41" ht="24" customHeight="1">
      <x:c r="A41" s="36" t="str">
        <x:v>PCHK-0037</x:v>
      </x:c>
      <x:c r="B41" s="36" t="str">
        <x:v>PTW-2026-0403</x:v>
      </x:c>
      <x:c r="C41" s="36" t="str">
        <x:v>JSA_ATTACHED</x:v>
      </x:c>
      <x:c r="D41" s="38" t="str">
        <x:v>Approved JSA is attached</x:v>
      </x:c>
      <x:c r="E41" s="36" t="str">
        <x:v>YES</x:v>
      </x:c>
      <x:c r="F41" s="54" t="b">
        <x:v>1</x:v>
      </x:c>
      <x:c r="G41" s="36" t="str">
        <x:v>EMP-010</x:v>
      </x:c>
      <x:c r="H41" s="37" t="n">
        <x:v>46247.26736111111</x:v>
      </x:c>
      <x:c r="I41" s="36"/>
    </x:row>
    <x:row r="42" ht="24" customHeight="1">
      <x:c r="A42" s="36" t="str">
        <x:v>PCHK-0038</x:v>
      </x:c>
      <x:c r="B42" s="36" t="str">
        <x:v>PTW-2026-0403</x:v>
      </x:c>
      <x:c r="C42" s="36" t="str">
        <x:v>AREA_ISOLATED</x:v>
      </x:c>
      <x:c r="D42" s="38" t="str">
        <x:v>Work area is isolated and signed</x:v>
      </x:c>
      <x:c r="E42" s="36" t="str">
        <x:v>NO</x:v>
      </x:c>
      <x:c r="F42" s="54" t="b">
        <x:v>1</x:v>
      </x:c>
      <x:c r="G42" s="36" t="str">
        <x:v>EMP-010</x:v>
      </x:c>
      <x:c r="H42" s="37" t="n">
        <x:v>46247.26736111111</x:v>
      </x:c>
      <x:c r="I42" s="36"/>
    </x:row>
    <x:row r="43" ht="24" customHeight="1">
      <x:c r="A43" s="36" t="str">
        <x:v>PCHK-0039</x:v>
      </x:c>
      <x:c r="B43" s="36" t="str">
        <x:v>PTW-2026-0403</x:v>
      </x:c>
      <x:c r="C43" s="36" t="str">
        <x:v>PPE_VERIFIED</x:v>
      </x:c>
      <x:c r="D43" s="38" t="str">
        <x:v>Required PPE is available</x:v>
      </x:c>
      <x:c r="E43" s="36" t="str">
        <x:v>YES</x:v>
      </x:c>
      <x:c r="F43" s="54" t="b">
        <x:v>1</x:v>
      </x:c>
      <x:c r="G43" s="36" t="str">
        <x:v>EMP-010</x:v>
      </x:c>
      <x:c r="H43" s="37" t="n">
        <x:v>46247.26736111111</x:v>
      </x:c>
      <x:c r="I43" s="36"/>
    </x:row>
    <x:row r="44" ht="24" customHeight="1">
      <x:c r="A44" s="36" t="str">
        <x:v>PCHK-0040</x:v>
      </x:c>
      <x:c r="B44" s="36" t="str">
        <x:v>PTW-2026-0403</x:v>
      </x:c>
      <x:c r="C44" s="36" t="str">
        <x:v>EMERGENCY_CONTROLS</x:v>
      </x:c>
      <x:c r="D44" s="38" t="str">
        <x:v>Emergency controls are ready</x:v>
      </x:c>
      <x:c r="E44" s="36" t="str">
        <x:v>YES</x:v>
      </x:c>
      <x:c r="F44" s="54" t="b">
        <x:v>1</x:v>
      </x:c>
      <x:c r="G44" s="36" t="str">
        <x:v>EMP-010</x:v>
      </x:c>
      <x:c r="H44" s="37" t="n">
        <x:v>46247.26736111111</x:v>
      </x:c>
      <x:c r="I44" s="36"/>
    </x:row>
    <x:row r="45" ht="24" customHeight="1">
      <x:c r="A45" s="36" t="str">
        <x:v>PCHK-0041</x:v>
      </x:c>
      <x:c r="B45" s="36" t="str">
        <x:v>PTW-2026-0402</x:v>
      </x:c>
      <x:c r="C45" s="36" t="str">
        <x:v>JSA_ATTACHED</x:v>
      </x:c>
      <x:c r="D45" s="38" t="str">
        <x:v>Approved JSA is attached</x:v>
      </x:c>
      <x:c r="E45" s="36" t="str">
        <x:v>YES</x:v>
      </x:c>
      <x:c r="F45" s="54" t="b">
        <x:v>1</x:v>
      </x:c>
      <x:c r="G45" s="36" t="str">
        <x:v>EMP-012</x:v>
      </x:c>
      <x:c r="H45" s="37" t="n">
        <x:v>46244.100694444445</x:v>
      </x:c>
      <x:c r="I45" s="36"/>
    </x:row>
    <x:row r="46" ht="24" customHeight="1">
      <x:c r="A46" s="36" t="str">
        <x:v>PCHK-0042</x:v>
      </x:c>
      <x:c r="B46" s="36" t="str">
        <x:v>PTW-2026-0402</x:v>
      </x:c>
      <x:c r="C46" s="36" t="str">
        <x:v>AREA_ISOLATED</x:v>
      </x:c>
      <x:c r="D46" s="38" t="str">
        <x:v>Work area is isolated and signed</x:v>
      </x:c>
      <x:c r="E46" s="36" t="str">
        <x:v>YES</x:v>
      </x:c>
      <x:c r="F46" s="54" t="b">
        <x:v>1</x:v>
      </x:c>
      <x:c r="G46" s="36" t="str">
        <x:v>EMP-012</x:v>
      </x:c>
      <x:c r="H46" s="37" t="n">
        <x:v>46244.100694444445</x:v>
      </x:c>
      <x:c r="I46" s="36"/>
    </x:row>
    <x:row r="47" ht="24" customHeight="1">
      <x:c r="A47" s="36" t="str">
        <x:v>PCHK-0043</x:v>
      </x:c>
      <x:c r="B47" s="36" t="str">
        <x:v>PTW-2026-0402</x:v>
      </x:c>
      <x:c r="C47" s="36" t="str">
        <x:v>PPE_VERIFIED</x:v>
      </x:c>
      <x:c r="D47" s="38" t="str">
        <x:v>Required PPE is available</x:v>
      </x:c>
      <x:c r="E47" s="36" t="str">
        <x:v>YES</x:v>
      </x:c>
      <x:c r="F47" s="54" t="b">
        <x:v>1</x:v>
      </x:c>
      <x:c r="G47" s="36" t="str">
        <x:v>EMP-012</x:v>
      </x:c>
      <x:c r="H47" s="37" t="n">
        <x:v>46244.100694444445</x:v>
      </x:c>
      <x:c r="I47" s="36"/>
    </x:row>
    <x:row r="48" ht="24" customHeight="1">
      <x:c r="A48" s="36" t="str">
        <x:v>PCHK-0044</x:v>
      </x:c>
      <x:c r="B48" s="36" t="str">
        <x:v>PTW-2026-0402</x:v>
      </x:c>
      <x:c r="C48" s="36" t="str">
        <x:v>EMERGENCY_CONTROLS</x:v>
      </x:c>
      <x:c r="D48" s="38" t="str">
        <x:v>Emergency controls are ready</x:v>
      </x:c>
      <x:c r="E48" s="36" t="str">
        <x:v>YES</x:v>
      </x:c>
      <x:c r="F48" s="54" t="b">
        <x:v>1</x:v>
      </x:c>
      <x:c r="G48" s="36" t="str">
        <x:v>EMP-012</x:v>
      </x:c>
      <x:c r="H48" s="37" t="n">
        <x:v>46244.100694444445</x:v>
      </x:c>
      <x:c r="I48" s="36"/>
    </x:row>
    <x:row r="49" ht="24" customHeight="1">
      <x:c r="A49" s="36" t="str">
        <x:v>PCHK-0045</x:v>
      </x:c>
      <x:c r="B49" s="36" t="str">
        <x:v>PTW-2026-0401</x:v>
      </x:c>
      <x:c r="C49" s="36" t="str">
        <x:v>JSA_ATTACHED</x:v>
      </x:c>
      <x:c r="D49" s="38" t="str">
        <x:v>Approved JSA is attached</x:v>
      </x:c>
      <x:c r="E49" s="36" t="str">
        <x:v>YES</x:v>
      </x:c>
      <x:c r="F49" s="54" t="b">
        <x:v>1</x:v>
      </x:c>
      <x:c r="G49" s="36" t="str">
        <x:v>EMP-010</x:v>
      </x:c>
      <x:c r="H49" s="37" t="n">
        <x:v>46243.18402777778</x:v>
      </x:c>
      <x:c r="I49" s="36"/>
    </x:row>
    <x:row r="50" ht="24" customHeight="1">
      <x:c r="A50" s="36" t="str">
        <x:v>PCHK-0046</x:v>
      </x:c>
      <x:c r="B50" s="36" t="str">
        <x:v>PTW-2026-0401</x:v>
      </x:c>
      <x:c r="C50" s="36" t="str">
        <x:v>AREA_ISOLATED</x:v>
      </x:c>
      <x:c r="D50" s="38" t="str">
        <x:v>Work area is isolated and signed</x:v>
      </x:c>
      <x:c r="E50" s="36" t="str">
        <x:v>YES</x:v>
      </x:c>
      <x:c r="F50" s="54" t="b">
        <x:v>1</x:v>
      </x:c>
      <x:c r="G50" s="36" t="str">
        <x:v>EMP-010</x:v>
      </x:c>
      <x:c r="H50" s="37" t="n">
        <x:v>46243.18402777778</x:v>
      </x:c>
      <x:c r="I50" s="36"/>
    </x:row>
    <x:row r="51" ht="24" customHeight="1">
      <x:c r="A51" s="36" t="str">
        <x:v>PCHK-0047</x:v>
      </x:c>
      <x:c r="B51" s="36" t="str">
        <x:v>PTW-2026-0401</x:v>
      </x:c>
      <x:c r="C51" s="36" t="str">
        <x:v>PPE_VERIFIED</x:v>
      </x:c>
      <x:c r="D51" s="38" t="str">
        <x:v>Required PPE is available</x:v>
      </x:c>
      <x:c r="E51" s="36" t="str">
        <x:v>YES</x:v>
      </x:c>
      <x:c r="F51" s="54" t="b">
        <x:v>1</x:v>
      </x:c>
      <x:c r="G51" s="36" t="str">
        <x:v>EMP-010</x:v>
      </x:c>
      <x:c r="H51" s="37" t="n">
        <x:v>46243.18402777778</x:v>
      </x:c>
      <x:c r="I51" s="36"/>
    </x:row>
    <x:row r="52" ht="24" customHeight="1">
      <x:c r="A52" s="41" t="str">
        <x:v>PCHK-0048</x:v>
      </x:c>
      <x:c r="B52" s="41" t="str">
        <x:v>PTW-2026-0401</x:v>
      </x:c>
      <x:c r="C52" s="41" t="str">
        <x:v>EMERGENCY_CONTROLS</x:v>
      </x:c>
      <x:c r="D52" s="43" t="str">
        <x:v>Emergency controls are ready</x:v>
      </x:c>
      <x:c r="E52" s="41" t="str">
        <x:v>YES</x:v>
      </x:c>
      <x:c r="F52" s="55" t="b">
        <x:v>1</x:v>
      </x:c>
      <x:c r="G52" s="41" t="str">
        <x:v>EMP-010</x:v>
      </x:c>
      <x:c r="H52" s="42" t="n">
        <x:v>46243.18402777778</x:v>
      </x:c>
      <x:c r="I52" s="41"/>
    </x:row>
  </x:sheetData>
  <x:mergeCells>
    <x:mergeCell ref="A1:I1"/>
    <x:mergeCell ref="A2:I2"/>
  </x:mergeCells>
  <x:conditionalFormatting sqref="F5:F52">
    <x:cfRule type="containsText" dxfId="726" priority="1" operator="containsText" text="CRITICAL"/>
    <x:cfRule type="containsText" dxfId="727" priority="2" operator="containsText" text="EXPIRED"/>
    <x:cfRule type="containsText" dxfId="728" priority="3" operator="containsText" text="FAILED"/>
    <x:cfRule type="containsText" dxfId="729" priority="4" operator="containsText" text="OVERDUE"/>
    <x:cfRule type="containsText" dxfId="730" priority="5" operator="containsText" text="REJECTED"/>
    <x:cfRule type="containsText" dxfId="731" priority="6" operator="containsText" text="OUT_OF_SERVICE"/>
    <x:cfRule type="containsText" dxfId="732" priority="7" operator="containsText" text="BELOW_THRESHOLD"/>
    <x:cfRule type="containsText" dxfId="733" priority="8" operator="containsText" text="HIGH"/>
    <x:cfRule type="containsText" dxfId="734" priority="9" operator="containsText" text="WARNING"/>
    <x:cfRule type="containsText" dxfId="735" priority="10" operator="containsText" text="DUE_SOON"/>
    <x:cfRule type="containsText" dxfId="736" priority="11" operator="containsText" text="OPEN"/>
    <x:cfRule type="containsText" dxfId="737" priority="12" operator="containsText" text="PENDING"/>
    <x:cfRule type="containsText" dxfId="738" priority="13" operator="containsText" text="SUSPENDED"/>
    <x:cfRule type="containsText" dxfId="739" priority="14" operator="containsText" text="TESTING"/>
    <x:cfRule type="containsText" dxfId="740" priority="15" operator="containsText" text="PARTIAL_FAILURE"/>
    <x:cfRule type="containsText" dxfId="741" priority="16" operator="containsText" text="LOW_STOCK"/>
    <x:cfRule type="containsText" dxfId="742" priority="17" operator="containsText" text="ACTIVE"/>
    <x:cfRule type="containsText" dxfId="743" priority="18" operator="containsText" text="VALID"/>
    <x:cfRule type="containsText" dxfId="744" priority="19" operator="containsText" text="SUCCESS"/>
    <x:cfRule type="containsText" dxfId="745" priority="20" operator="containsText" text="COMPLETED"/>
    <x:cfRule type="containsText" dxfId="746" priority="21" operator="containsText" text="CLOSED"/>
    <x:cfRule type="containsText" dxfId="747" priority="22" operator="containsText" text="CONNECTED"/>
    <x:cfRule type="containsText" dxfId="748" priority="23" operator="containsText" text="NORMAL"/>
    <x:cfRule type="containsText" dxfId="749" priority="24" operator="containsText" text="VERIFIED"/>
    <x:cfRule type="containsText" dxfId="750" priority="25" operator="containsText" text="RESOLVED"/>
    <x:cfRule type="containsText" dxfId="751" priority="26" operator="containsText" text="PASS"/>
    <x:cfRule type="containsText" dxfId="752" priority="27" operator="containsText" text="OK"/>
    <x:cfRule type="containsText" dxfId="753" priority="28" operator="containsText" text="INFO"/>
    <x:cfRule type="containsText" dxfId="754" priority="29" operator="containsText" text="DRAFT"/>
    <x:cfRule type="containsText" dxfId="755" priority="30" operator="containsText" text="SCHEDULED"/>
    <x:cfRule type="containsText" dxfId="756" priority="31" operator="containsText" text="IN_PROGRESS"/>
    <x:cfRule type="containsText" dxfId="757" priority="32" operator="containsText" text="MODEL_REVIEW"/>
    <x:cfRule type="containsText" dxfId="758" priority="33" operator="containsText" text="READ"/>
  </x:conditionalFormatting>
  <x:dataValidations count="1">
    <x:dataValidation type="list" sqref="E5:E52">
      <x:formula1>"YES,NO,NA,NOT_CHECKED"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7846d5c761403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34" hidden="0" customWidth="1"/>
  </x:cols>
  <x:sheetData>
    <x:row r="1" ht="32" customHeight="1">
      <x:c r="A1" s="17" t="str">
        <x:v>ESCA HSE | Permit_Gas_Tests</x:v>
      </x:c>
      <x:c r="B1" s="17" t="str">
        <x:v>ESCA HSE | Permit_Gas_Tests</x:v>
      </x:c>
      <x:c r="C1" s="17" t="str">
        <x:v>ESCA HSE | Permit_Gas_Tests</x:v>
      </x:c>
      <x:c r="D1" s="17" t="str">
        <x:v>ESCA HSE | Permit_Gas_Tests</x:v>
      </x:c>
      <x:c r="E1" s="17" t="str">
        <x:v>ESCA HSE | Permit_Gas_Tests</x:v>
      </x:c>
      <x:c r="F1" s="17" t="str">
        <x:v>ESCA HSE | Permit_Gas_Tests</x:v>
      </x:c>
      <x:c r="G1" s="17" t="str">
        <x:v>ESCA HSE | Permit_Gas_Tests</x:v>
      </x:c>
      <x:c r="H1" s="17" t="str">
        <x:v>ESCA HSE | Permit_Gas_Tests</x:v>
      </x:c>
      <x:c r="I1" s="17" t="str">
        <x:v>ESCA HSE | Permit_Gas_Tests</x:v>
      </x:c>
      <x:c r="J1" s="17" t="str">
        <x:v>ESCA HSE | Permit_Gas_Tests</x:v>
      </x:c>
    </x:row>
    <x:row r="2" ht="28" customHeight="1">
      <x:c r="A2" s="21" t="str">
        <x:v>Confined-space atmospheric tests | Owner: Member 1 + Member 3 | Synthetic sample data | Snapshot: 2026-08-13</x:v>
      </x:c>
      <x:c r="B2" s="21" t="str">
        <x:v>Confined-space atmospheric tests | Owner: Member 1 + Member 3 | Synthetic sample data | Snapshot: 2026-08-13</x:v>
      </x:c>
      <x:c r="C2" s="21" t="str">
        <x:v>Confined-space atmospheric tests | Owner: Member 1 + Member 3 | Synthetic sample data | Snapshot: 2026-08-13</x:v>
      </x:c>
      <x:c r="D2" s="21" t="str">
        <x:v>Confined-space atmospheric tests | Owner: Member 1 + Member 3 | Synthetic sample data | Snapshot: 2026-08-13</x:v>
      </x:c>
      <x:c r="E2" s="21" t="str">
        <x:v>Confined-space atmospheric tests | Owner: Member 1 + Member 3 | Synthetic sample data | Snapshot: 2026-08-13</x:v>
      </x:c>
      <x:c r="F2" s="21" t="str">
        <x:v>Confined-space atmospheric tests | Owner: Member 1 + Member 3 | Synthetic sample data | Snapshot: 2026-08-13</x:v>
      </x:c>
      <x:c r="G2" s="21" t="str">
        <x:v>Confined-space atmospheric tests | Owner: Member 1 + Member 3 | Synthetic sample data | Snapshot: 2026-08-13</x:v>
      </x:c>
      <x:c r="H2" s="21" t="str">
        <x:v>Confined-space atmospheric tests | Owner: Member 1 + Member 3 | Synthetic sample data | Snapshot: 2026-08-13</x:v>
      </x:c>
      <x:c r="I2" s="21" t="str">
        <x:v>Confined-space atmospheric tests | Owner: Member 1 + Member 3 | Synthetic sample data | Snapshot: 2026-08-13</x:v>
      </x:c>
      <x:c r="J2" s="21" t="str">
        <x:v>Confined-space atmospheric tests | Owner: Member 1 + Member 3 | Synthetic sample data | Snapshot: 2026-08-13</x:v>
      </x:c>
    </x:row>
    <x:row r="4" ht="30" customHeight="1">
      <x:c r="A4" s="26" t="str">
        <x:v>gas_test_id</x:v>
      </x:c>
      <x:c r="B4" s="26" t="str">
        <x:v>permit_id</x:v>
      </x:c>
      <x:c r="C4" s="26" t="str">
        <x:v>tested_at</x:v>
      </x:c>
      <x:c r="D4" s="26" t="str">
        <x:v>tester_id</x:v>
      </x:c>
      <x:c r="E4" s="26" t="str">
        <x:v>oxygen_pct</x:v>
      </x:c>
      <x:c r="F4" s="26" t="str">
        <x:v>lel_pct</x:v>
      </x:c>
      <x:c r="G4" s="26" t="str">
        <x:v>h2s_ppm</x:v>
      </x:c>
      <x:c r="H4" s="26" t="str">
        <x:v>co_ppm</x:v>
      </x:c>
      <x:c r="I4" s="26" t="str">
        <x:v>result</x:v>
      </x:c>
      <x:c r="J4" s="26" t="str">
        <x:v>action_taken</x:v>
      </x:c>
    </x:row>
    <x:row r="5" ht="24" customHeight="1">
      <x:c r="A5" s="31" t="str">
        <x:v>GAS-001</x:v>
      </x:c>
      <x:c r="B5" s="31" t="str">
        <x:v>PTW-2026-0409</x:v>
      </x:c>
      <x:c r="C5" s="32" t="n">
        <x:v>46247.118055555555</x:v>
      </x:c>
      <x:c r="D5" s="31" t="str">
        <x:v>EMP-027</x:v>
      </x:c>
      <x:c r="E5" s="57" t="n">
        <x:v>20.9</x:v>
      </x:c>
      <x:c r="F5" s="57" t="n">
        <x:v>0</x:v>
      </x:c>
      <x:c r="G5" s="57" t="n">
        <x:v>0</x:v>
      </x:c>
      <x:c r="H5" s="57" t="n">
        <x:v>3</x:v>
      </x:c>
      <x:c r="I5" s="31" t="str">
        <x:v>PASS</x:v>
      </x:c>
      <x:c r="J5" s="33" t="str">
        <x:v>Permit activated</x:v>
      </x:c>
    </x:row>
    <x:row r="6" ht="24" customHeight="1">
      <x:c r="A6" s="36" t="str">
        <x:v>GAS-002</x:v>
      </x:c>
      <x:c r="B6" s="36" t="str">
        <x:v>PTW-2026-0409</x:v>
      </x:c>
      <x:c r="C6" s="37" t="n">
        <x:v>46247.208333333336</x:v>
      </x:c>
      <x:c r="D6" s="36" t="str">
        <x:v>EMP-027</x:v>
      </x:c>
      <x:c r="E6" s="58" t="n">
        <x:v>20.6</x:v>
      </x:c>
      <x:c r="F6" s="58" t="n">
        <x:v>0</x:v>
      </x:c>
      <x:c r="G6" s="58" t="n">
        <x:v>0</x:v>
      </x:c>
      <x:c r="H6" s="58" t="n">
        <x:v>4</x:v>
      </x:c>
      <x:c r="I6" s="36" t="str">
        <x:v>PASS</x:v>
      </x:c>
      <x:c r="J6" s="38" t="str">
        <x:v>Continuous monitoring</x:v>
      </x:c>
    </x:row>
    <x:row r="7" ht="24" customHeight="1">
      <x:c r="A7" s="36" t="str">
        <x:v>GAS-003</x:v>
      </x:c>
      <x:c r="B7" s="36" t="str">
        <x:v>PTW-2026-0409</x:v>
      </x:c>
      <x:c r="C7" s="37" t="n">
        <x:v>46247.3125</x:v>
      </x:c>
      <x:c r="D7" s="36" t="str">
        <x:v>EMP-027</x:v>
      </x:c>
      <x:c r="E7" s="58" t="n">
        <x:v>19.8</x:v>
      </x:c>
      <x:c r="F7" s="58" t="n">
        <x:v>0</x:v>
      </x:c>
      <x:c r="G7" s="58" t="n">
        <x:v>1</x:v>
      </x:c>
      <x:c r="H7" s="58" t="n">
        <x:v>6</x:v>
      </x:c>
      <x:c r="I7" s="36" t="str">
        <x:v>WARNING</x:v>
      </x:c>
      <x:c r="J7" s="38" t="str">
        <x:v>Ventilation increased</x:v>
      </x:c>
    </x:row>
    <x:row r="8" ht="24" customHeight="1">
      <x:c r="A8" s="36" t="str">
        <x:v>GAS-004</x:v>
      </x:c>
      <x:c r="B8" s="36" t="str">
        <x:v>PTW-2026-0409</x:v>
      </x:c>
      <x:c r="C8" s="37" t="n">
        <x:v>46247.31805555556</x:v>
      </x:c>
      <x:c r="D8" s="36" t="str">
        <x:v>EMP-027</x:v>
      </x:c>
      <x:c r="E8" s="58" t="n">
        <x:v>18.2</x:v>
      </x:c>
      <x:c r="F8" s="58" t="n">
        <x:v>0</x:v>
      </x:c>
      <x:c r="G8" s="58" t="n">
        <x:v>1</x:v>
      </x:c>
      <x:c r="H8" s="58" t="n">
        <x:v>8</x:v>
      </x:c>
      <x:c r="I8" s="36" t="str">
        <x:v>FAIL</x:v>
      </x:c>
      <x:c r="J8" s="38" t="str">
        <x:v>Permit suspended and personnel evacuated</x:v>
      </x:c>
    </x:row>
    <x:row r="9" ht="24" customHeight="1">
      <x:c r="A9" s="36" t="str">
        <x:v>GAS-005</x:v>
      </x:c>
      <x:c r="B9" s="36" t="str">
        <x:v>PTW-2026-0402</x:v>
      </x:c>
      <x:c r="C9" s="37" t="n">
        <x:v>46244.15625</x:v>
      </x:c>
      <x:c r="D9" s="36" t="str">
        <x:v>EMP-027</x:v>
      </x:c>
      <x:c r="E9" s="58" t="n">
        <x:v>20.8</x:v>
      </x:c>
      <x:c r="F9" s="58" t="n">
        <x:v>0</x:v>
      </x:c>
      <x:c r="G9" s="58" t="n">
        <x:v>0</x:v>
      </x:c>
      <x:c r="H9" s="58" t="n">
        <x:v>2</x:v>
      </x:c>
      <x:c r="I9" s="36" t="str">
        <x:v>PASS</x:v>
      </x:c>
      <x:c r="J9" s="38" t="str">
        <x:v>Pre-entry result accepted</x:v>
      </x:c>
    </x:row>
    <x:row r="10" ht="24" customHeight="1">
      <x:c r="A10" s="41" t="str">
        <x:v>GAS-006</x:v>
      </x:c>
      <x:c r="B10" s="41" t="str">
        <x:v>PTW-2026-0402</x:v>
      </x:c>
      <x:c r="C10" s="42" t="n">
        <x:v>46244.270833333336</x:v>
      </x:c>
      <x:c r="D10" s="41" t="str">
        <x:v>EMP-027</x:v>
      </x:c>
      <x:c r="E10" s="59" t="n">
        <x:v>20.7</x:v>
      </x:c>
      <x:c r="F10" s="59" t="n">
        <x:v>0</x:v>
      </x:c>
      <x:c r="G10" s="59" t="n">
        <x:v>0</x:v>
      </x:c>
      <x:c r="H10" s="59" t="n">
        <x:v>3</x:v>
      </x:c>
      <x:c r="I10" s="41" t="str">
        <x:v>PASS</x:v>
      </x:c>
      <x:c r="J10" s="43" t="str">
        <x:v>Continuous monitoring</x:v>
      </x:c>
    </x:row>
  </x:sheetData>
  <x:mergeCells>
    <x:mergeCell ref="A1:J1"/>
    <x:mergeCell ref="A2:J2"/>
  </x:mergeCells>
  <x:conditionalFormatting sqref="I5:I10">
    <x:cfRule type="containsText" dxfId="759" priority="1" operator="containsText" text="CRITICAL"/>
    <x:cfRule type="containsText" dxfId="760" priority="2" operator="containsText" text="EXPIRED"/>
    <x:cfRule type="containsText" dxfId="761" priority="3" operator="containsText" text="FAILED"/>
    <x:cfRule type="containsText" dxfId="762" priority="4" operator="containsText" text="OVERDUE"/>
    <x:cfRule type="containsText" dxfId="763" priority="5" operator="containsText" text="REJECTED"/>
    <x:cfRule type="containsText" dxfId="764" priority="6" operator="containsText" text="OUT_OF_SERVICE"/>
    <x:cfRule type="containsText" dxfId="765" priority="7" operator="containsText" text="BELOW_THRESHOLD"/>
    <x:cfRule type="containsText" dxfId="766" priority="8" operator="containsText" text="HIGH"/>
    <x:cfRule type="containsText" dxfId="767" priority="9" operator="containsText" text="WARNING"/>
    <x:cfRule type="containsText" dxfId="768" priority="10" operator="containsText" text="DUE_SOON"/>
    <x:cfRule type="containsText" dxfId="769" priority="11" operator="containsText" text="OPEN"/>
    <x:cfRule type="containsText" dxfId="770" priority="12" operator="containsText" text="PENDING"/>
    <x:cfRule type="containsText" dxfId="771" priority="13" operator="containsText" text="SUSPENDED"/>
    <x:cfRule type="containsText" dxfId="772" priority="14" operator="containsText" text="TESTING"/>
    <x:cfRule type="containsText" dxfId="773" priority="15" operator="containsText" text="PARTIAL_FAILURE"/>
    <x:cfRule type="containsText" dxfId="774" priority="16" operator="containsText" text="LOW_STOCK"/>
    <x:cfRule type="containsText" dxfId="775" priority="17" operator="containsText" text="ACTIVE"/>
    <x:cfRule type="containsText" dxfId="776" priority="18" operator="containsText" text="VALID"/>
    <x:cfRule type="containsText" dxfId="777" priority="19" operator="containsText" text="SUCCESS"/>
    <x:cfRule type="containsText" dxfId="778" priority="20" operator="containsText" text="COMPLETED"/>
    <x:cfRule type="containsText" dxfId="779" priority="21" operator="containsText" text="CLOSED"/>
    <x:cfRule type="containsText" dxfId="780" priority="22" operator="containsText" text="CONNECTED"/>
    <x:cfRule type="containsText" dxfId="781" priority="23" operator="containsText" text="NORMAL"/>
    <x:cfRule type="containsText" dxfId="782" priority="24" operator="containsText" text="VERIFIED"/>
    <x:cfRule type="containsText" dxfId="783" priority="25" operator="containsText" text="RESOLVED"/>
    <x:cfRule type="containsText" dxfId="784" priority="26" operator="containsText" text="PASS"/>
    <x:cfRule type="containsText" dxfId="785" priority="27" operator="containsText" text="OK"/>
    <x:cfRule type="containsText" dxfId="786" priority="28" operator="containsText" text="INFO"/>
    <x:cfRule type="containsText" dxfId="787" priority="29" operator="containsText" text="DRAFT"/>
    <x:cfRule type="containsText" dxfId="788" priority="30" operator="containsText" text="SCHEDULED"/>
    <x:cfRule type="containsText" dxfId="789" priority="31" operator="containsText" text="IN_PROGRESS"/>
    <x:cfRule type="containsText" dxfId="790" priority="32" operator="containsText" text="MODEL_REVIEW"/>
    <x:cfRule type="containsText" dxfId="791" priority="33" operator="containsText" text="READ"/>
  </x:conditionalFormatting>
  <x:dataValidations count="1">
    <x:dataValidation type="list" sqref="I5:I10">
      <x:formula1>"PASS,WARNING,FAIL"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50732461e483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32" customHeight="1">
      <x:c r="A1" s="17" t="str">
        <x:v>ESCA HSE | SIMOPS</x:v>
      </x:c>
      <x:c r="B1" s="17" t="str">
        <x:v>ESCA HSE | SIMOPS</x:v>
      </x:c>
      <x:c r="C1" s="17" t="str">
        <x:v>ESCA HSE | SIMOPS</x:v>
      </x:c>
      <x:c r="D1" s="17" t="str">
        <x:v>ESCA HSE | SIMOPS</x:v>
      </x:c>
      <x:c r="E1" s="17" t="str">
        <x:v>ESCA HSE | SIMOPS</x:v>
      </x:c>
      <x:c r="F1" s="17" t="str">
        <x:v>ESCA HSE | SIMOPS</x:v>
      </x:c>
      <x:c r="G1" s="17" t="str">
        <x:v>ESCA HSE | SIMOPS</x:v>
      </x:c>
      <x:c r="H1" s="17" t="str">
        <x:v>ESCA HSE | SIMOPS</x:v>
      </x:c>
      <x:c r="I1" s="17" t="str">
        <x:v>ESCA HSE | SIMOPS</x:v>
      </x:c>
      <x:c r="J1" s="17" t="str">
        <x:v>ESCA HSE | SIMOPS</x:v>
      </x:c>
      <x:c r="K1" s="17" t="str">
        <x:v>ESCA HSE | SIMOPS</x:v>
      </x:c>
    </x:row>
    <x:row r="2" ht="28" customHeight="1">
      <x:c r="A2" s="21" t="str">
        <x:v>Simultaneous operations conflicts | Owner: Member 1 | Synthetic sample data | Snapshot: 2026-08-13</x:v>
      </x:c>
      <x:c r="B2" s="21" t="str">
        <x:v>Simultaneous operations conflicts | Owner: Member 1 | Synthetic sample data | Snapshot: 2026-08-13</x:v>
      </x:c>
      <x:c r="C2" s="21" t="str">
        <x:v>Simultaneous operations conflicts | Owner: Member 1 | Synthetic sample data | Snapshot: 2026-08-13</x:v>
      </x:c>
      <x:c r="D2" s="21" t="str">
        <x:v>Simultaneous operations conflicts | Owner: Member 1 | Synthetic sample data | Snapshot: 2026-08-13</x:v>
      </x:c>
      <x:c r="E2" s="21" t="str">
        <x:v>Simultaneous operations conflicts | Owner: Member 1 | Synthetic sample data | Snapshot: 2026-08-13</x:v>
      </x:c>
      <x:c r="F2" s="21" t="str">
        <x:v>Simultaneous operations conflicts | Owner: Member 1 | Synthetic sample data | Snapshot: 2026-08-13</x:v>
      </x:c>
      <x:c r="G2" s="21" t="str">
        <x:v>Simultaneous operations conflicts | Owner: Member 1 | Synthetic sample data | Snapshot: 2026-08-13</x:v>
      </x:c>
      <x:c r="H2" s="21" t="str">
        <x:v>Simultaneous operations conflicts | Owner: Member 1 | Synthetic sample data | Snapshot: 2026-08-13</x:v>
      </x:c>
      <x:c r="I2" s="21" t="str">
        <x:v>Simultaneous operations conflicts | Owner: Member 1 | Synthetic sample data | Snapshot: 2026-08-13</x:v>
      </x:c>
      <x:c r="J2" s="21" t="str">
        <x:v>Simultaneous operations conflicts | Owner: Member 1 | Synthetic sample data | Snapshot: 2026-08-13</x:v>
      </x:c>
      <x:c r="K2" s="21" t="str">
        <x:v>Simultaneous operations conflicts | Owner: Member 1 | Synthetic sample data | Snapshot: 2026-08-13</x:v>
      </x:c>
    </x:row>
    <x:row r="4" ht="30" customHeight="1">
      <x:c r="A4" s="26" t="str">
        <x:v>simops_id</x:v>
      </x:c>
      <x:c r="B4" s="26" t="str">
        <x:v>permit_a_id</x:v>
      </x:c>
      <x:c r="C4" s="26" t="str">
        <x:v>permit_b_id</x:v>
      </x:c>
      <x:c r="D4" s="26" t="str">
        <x:v>zone_id</x:v>
      </x:c>
      <x:c r="E4" s="26" t="str">
        <x:v>detected_at</x:v>
      </x:c>
      <x:c r="F4" s="26" t="str">
        <x:v>conflict_type</x:v>
      </x:c>
      <x:c r="G4" s="26" t="str">
        <x:v>distance_m</x:v>
      </x:c>
      <x:c r="H4" s="26" t="str">
        <x:v>rule_code</x:v>
      </x:c>
      <x:c r="I4" s="26" t="str">
        <x:v>decision</x:v>
      </x:c>
      <x:c r="J4" s="26" t="str">
        <x:v>status</x:v>
      </x:c>
      <x:c r="K4" s="26" t="str">
        <x:v>resolved_at</x:v>
      </x:c>
    </x:row>
    <x:row r="5" ht="24" customHeight="1">
      <x:c r="A5" s="31" t="str">
        <x:v>SIM-001</x:v>
      </x:c>
      <x:c r="B5" s="31" t="str">
        <x:v>PTW-2026-0412</x:v>
      </x:c>
      <x:c r="C5" s="31" t="str">
        <x:v>PTW-2026-0403</x:v>
      </x:c>
      <x:c r="D5" s="31" t="str">
        <x:v>ZN-M01</x:v>
      </x:c>
      <x:c r="E5" s="32" t="n">
        <x:v>46247.2375</x:v>
      </x:c>
      <x:c r="F5" s="31" t="str">
        <x:v>HOT_WORK_FLAMMABLE</x:v>
      </x:c>
      <x:c r="G5" s="57" t="n">
        <x:v>4.2</x:v>
      </x:c>
      <x:c r="H5" s="31" t="str">
        <x:v>SIMOPS-HW-001</x:v>
      </x:c>
      <x:c r="I5" s="31" t="str">
        <x:v>BLOCK_PERMIT_B</x:v>
      </x:c>
      <x:c r="J5" s="31" t="str">
        <x:v>OPEN</x:v>
      </x:c>
      <x:c r="K5" s="32"/>
    </x:row>
    <x:row r="6" ht="24" customHeight="1">
      <x:c r="A6" s="36" t="str">
        <x:v>SIM-002</x:v>
      </x:c>
      <x:c r="B6" s="36" t="str">
        <x:v>PTW-2026-0410</x:v>
      </x:c>
      <x:c r="C6" s="36" t="str">
        <x:v>PTW-2026-0408</x:v>
      </x:c>
      <x:c r="D6" s="36" t="str">
        <x:v>ZN-B2</x:v>
      </x:c>
      <x:c r="E6" s="37" t="n">
        <x:v>46247.20486111111</x:v>
      </x:c>
      <x:c r="F6" s="36" t="str">
        <x:v>WORK_ABOVE_ACTIVE_AREA</x:v>
      </x:c>
      <x:c r="G6" s="58" t="n">
        <x:v>0</x:v>
      </x:c>
      <x:c r="H6" s="36" t="str">
        <x:v>SIMOPS-WAH-002</x:v>
      </x:c>
      <x:c r="I6" s="36" t="str">
        <x:v>SEPARATE_SCHEDULES</x:v>
      </x:c>
      <x:c r="J6" s="36" t="str">
        <x:v>RESOLVED</x:v>
      </x:c>
      <x:c r="K6" s="37" t="n">
        <x:v>46247.22222222222</x:v>
      </x:c>
    </x:row>
    <x:row r="7" ht="24" customHeight="1">
      <x:c r="A7" s="36" t="str">
        <x:v>SIM-003</x:v>
      </x:c>
      <x:c r="B7" s="36" t="str">
        <x:v>PTW-2026-0409</x:v>
      </x:c>
      <x:c r="C7" s="36" t="str">
        <x:v>PTW-2026-0407</x:v>
      </x:c>
      <x:c r="D7" s="36" t="str">
        <x:v>ZN-U02</x:v>
      </x:c>
      <x:c r="E7" s="37" t="n">
        <x:v>46247.131944444445</x:v>
      </x:c>
      <x:c r="F7" s="36" t="str">
        <x:v>CONFINED_SPACE_NEAR_EXCAVATION</x:v>
      </x:c>
      <x:c r="G7" s="58" t="n">
        <x:v>7.5</x:v>
      </x:c>
      <x:c r="H7" s="36" t="str">
        <x:v>SIMOPS-CS-003</x:v>
      </x:c>
      <x:c r="I7" s="36" t="str">
        <x:v>MONITOR</x:v>
      </x:c>
      <x:c r="J7" s="36" t="str">
        <x:v>RESOLVED</x:v>
      </x:c>
      <x:c r="K7" s="37" t="n">
        <x:v>46247.145833333336</x:v>
      </x:c>
    </x:row>
    <x:row r="8" ht="24" customHeight="1">
      <x:c r="A8" s="36" t="str">
        <x:v>SIM-004</x:v>
      </x:c>
      <x:c r="B8" s="36" t="str">
        <x:v>PTW-2026-0406</x:v>
      </x:c>
      <x:c r="C8" s="36" t="str">
        <x:v>PTW-2026-0405</x:v>
      </x:c>
      <x:c r="D8" s="36" t="str">
        <x:v>ZN-M01</x:v>
      </x:c>
      <x:c r="E8" s="37" t="n">
        <x:v>46246.1875</x:v>
      </x:c>
      <x:c r="F8" s="36" t="str">
        <x:v>HOT_WORK_ELECTRICAL</x:v>
      </x:c>
      <x:c r="G8" s="58" t="n">
        <x:v>15</x:v>
      </x:c>
      <x:c r="H8" s="36" t="str">
        <x:v>SIMOPS-HW-004</x:v>
      </x:c>
      <x:c r="I8" s="36" t="str">
        <x:v>ALLOW_WITH_CONTROLS</x:v>
      </x:c>
      <x:c r="J8" s="36" t="str">
        <x:v>CLOSED</x:v>
      </x:c>
      <x:c r="K8" s="37" t="n">
        <x:v>46246.20138888889</x:v>
      </x:c>
    </x:row>
    <x:row r="9" ht="24" customHeight="1">
      <x:c r="A9" s="41" t="str">
        <x:v>SIM-005</x:v>
      </x:c>
      <x:c r="B9" s="41" t="str">
        <x:v>PTW-2026-0402</x:v>
      </x:c>
      <x:c r="C9" s="41" t="str">
        <x:v>PTW-2026-0401</x:v>
      </x:c>
      <x:c r="D9" s="41" t="str">
        <x:v>ZN-U02</x:v>
      </x:c>
      <x:c r="E9" s="42" t="n">
        <x:v>46244.118055555555</x:v>
      </x:c>
      <x:c r="F9" s="41" t="str">
        <x:v>NONE</x:v>
      </x:c>
      <x:c r="G9" s="59" t="n">
        <x:v>80</x:v>
      </x:c>
      <x:c r="H9" s="41" t="str">
        <x:v>SIMOPS-GEN-000</x:v>
      </x:c>
      <x:c r="I9" s="41" t="str">
        <x:v>ALLOW</x:v>
      </x:c>
      <x:c r="J9" s="41" t="str">
        <x:v>CLOSED</x:v>
      </x:c>
      <x:c r="K9" s="42" t="n">
        <x:v>46244.11875</x:v>
      </x:c>
    </x:row>
  </x:sheetData>
  <x:mergeCells>
    <x:mergeCell ref="A1:K1"/>
    <x:mergeCell ref="A2:K2"/>
  </x:mergeCells>
  <x:conditionalFormatting sqref="J5:J9">
    <x:cfRule type="containsText" dxfId="792" priority="1" operator="containsText" text="CRITICAL"/>
    <x:cfRule type="containsText" dxfId="793" priority="2" operator="containsText" text="EXPIRED"/>
    <x:cfRule type="containsText" dxfId="794" priority="3" operator="containsText" text="FAILED"/>
    <x:cfRule type="containsText" dxfId="795" priority="4" operator="containsText" text="OVERDUE"/>
    <x:cfRule type="containsText" dxfId="796" priority="5" operator="containsText" text="REJECTED"/>
    <x:cfRule type="containsText" dxfId="797" priority="6" operator="containsText" text="OUT_OF_SERVICE"/>
    <x:cfRule type="containsText" dxfId="798" priority="7" operator="containsText" text="BELOW_THRESHOLD"/>
    <x:cfRule type="containsText" dxfId="799" priority="8" operator="containsText" text="HIGH"/>
    <x:cfRule type="containsText" dxfId="800" priority="9" operator="containsText" text="WARNING"/>
    <x:cfRule type="containsText" dxfId="801" priority="10" operator="containsText" text="DUE_SOON"/>
    <x:cfRule type="containsText" dxfId="802" priority="11" operator="containsText" text="OPEN"/>
    <x:cfRule type="containsText" dxfId="803" priority="12" operator="containsText" text="PENDING"/>
    <x:cfRule type="containsText" dxfId="804" priority="13" operator="containsText" text="SUSPENDED"/>
    <x:cfRule type="containsText" dxfId="805" priority="14" operator="containsText" text="TESTING"/>
    <x:cfRule type="containsText" dxfId="806" priority="15" operator="containsText" text="PARTIAL_FAILURE"/>
    <x:cfRule type="containsText" dxfId="807" priority="16" operator="containsText" text="LOW_STOCK"/>
    <x:cfRule type="containsText" dxfId="808" priority="17" operator="containsText" text="ACTIVE"/>
    <x:cfRule type="containsText" dxfId="809" priority="18" operator="containsText" text="VALID"/>
    <x:cfRule type="containsText" dxfId="810" priority="19" operator="containsText" text="SUCCESS"/>
    <x:cfRule type="containsText" dxfId="811" priority="20" operator="containsText" text="COMPLETED"/>
    <x:cfRule type="containsText" dxfId="812" priority="21" operator="containsText" text="CLOSED"/>
    <x:cfRule type="containsText" dxfId="813" priority="22" operator="containsText" text="CONNECTED"/>
    <x:cfRule type="containsText" dxfId="814" priority="23" operator="containsText" text="NORMAL"/>
    <x:cfRule type="containsText" dxfId="815" priority="24" operator="containsText" text="VERIFIED"/>
    <x:cfRule type="containsText" dxfId="816" priority="25" operator="containsText" text="RESOLVED"/>
    <x:cfRule type="containsText" dxfId="817" priority="26" operator="containsText" text="PASS"/>
    <x:cfRule type="containsText" dxfId="818" priority="27" operator="containsText" text="OK"/>
    <x:cfRule type="containsText" dxfId="819" priority="28" operator="containsText" text="INFO"/>
    <x:cfRule type="containsText" dxfId="820" priority="29" operator="containsText" text="DRAFT"/>
    <x:cfRule type="containsText" dxfId="821" priority="30" operator="containsText" text="SCHEDULED"/>
    <x:cfRule type="containsText" dxfId="822" priority="31" operator="containsText" text="IN_PROGRESS"/>
    <x:cfRule type="containsText" dxfId="823" priority="32" operator="containsText" text="MODEL_REVIEW"/>
    <x:cfRule type="containsText" dxfId="824" priority="33" operator="containsText" text="READ"/>
  </x:conditionalFormatting>
  <x:dataValidations count="1">
    <x:dataValidation type="list" sqref="J5:J9">
      <x:formula1>"OPEN,RESOLVED,CLOSED"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46ad5c91547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20" hidden="0" customWidth="1"/>
    <x:col min="10" max="10" width="18" hidden="0" customWidth="1"/>
  </x:cols>
  <x:sheetData>
    <x:row r="1" ht="32" customHeight="1">
      <x:c r="A1" s="17" t="str">
        <x:v>ESCA HSE | Incident_RCA</x:v>
      </x:c>
      <x:c r="B1" s="17" t="str">
        <x:v>ESCA HSE | Incident_RCA</x:v>
      </x:c>
      <x:c r="C1" s="17" t="str">
        <x:v>ESCA HSE | Incident_RCA</x:v>
      </x:c>
      <x:c r="D1" s="17" t="str">
        <x:v>ESCA HSE | Incident_RCA</x:v>
      </x:c>
      <x:c r="E1" s="17" t="str">
        <x:v>ESCA HSE | Incident_RCA</x:v>
      </x:c>
      <x:c r="F1" s="17" t="str">
        <x:v>ESCA HSE | Incident_RCA</x:v>
      </x:c>
      <x:c r="G1" s="17" t="str">
        <x:v>ESCA HSE | Incident_RCA</x:v>
      </x:c>
      <x:c r="H1" s="17" t="str">
        <x:v>ESCA HSE | Incident_RCA</x:v>
      </x:c>
      <x:c r="I1" s="17" t="str">
        <x:v>ESCA HSE | Incident_RCA</x:v>
      </x:c>
      <x:c r="J1" s="17" t="str">
        <x:v>ESCA HSE | Incident_RCA</x:v>
      </x:c>
    </x:row>
    <x:row r="2" ht="28" customHeight="1">
      <x:c r="A2" s="21" t="str">
        <x:v>5 Whys, Fishbone and Tripod investigation conclusions | Owner: Member 1 | Synthetic sample data | Snapshot: 2026-08-13</x:v>
      </x:c>
      <x:c r="B2" s="21" t="str">
        <x:v>5 Whys, Fishbone and Tripod investigation conclusions | Owner: Member 1 | Synthetic sample data | Snapshot: 2026-08-13</x:v>
      </x:c>
      <x:c r="C2" s="21" t="str">
        <x:v>5 Whys, Fishbone and Tripod investigation conclusions | Owner: Member 1 | Synthetic sample data | Snapshot: 2026-08-13</x:v>
      </x:c>
      <x:c r="D2" s="21" t="str">
        <x:v>5 Whys, Fishbone and Tripod investigation conclusions | Owner: Member 1 | Synthetic sample data | Snapshot: 2026-08-13</x:v>
      </x:c>
      <x:c r="E2" s="21" t="str">
        <x:v>5 Whys, Fishbone and Tripod investigation conclusions | Owner: Member 1 | Synthetic sample data | Snapshot: 2026-08-13</x:v>
      </x:c>
      <x:c r="F2" s="21" t="str">
        <x:v>5 Whys, Fishbone and Tripod investigation conclusions | Owner: Member 1 | Synthetic sample data | Snapshot: 2026-08-13</x:v>
      </x:c>
      <x:c r="G2" s="21" t="str">
        <x:v>5 Whys, Fishbone and Tripod investigation conclusions | Owner: Member 1 | Synthetic sample data | Snapshot: 2026-08-13</x:v>
      </x:c>
      <x:c r="H2" s="21" t="str">
        <x:v>5 Whys, Fishbone and Tripod investigation conclusions | Owner: Member 1 | Synthetic sample data | Snapshot: 2026-08-13</x:v>
      </x:c>
      <x:c r="I2" s="21" t="str">
        <x:v>5 Whys, Fishbone and Tripod investigation conclusions | Owner: Member 1 | Synthetic sample data | Snapshot: 2026-08-13</x:v>
      </x:c>
      <x:c r="J2" s="21" t="str">
        <x:v>5 Whys, Fishbone and Tripod investigation conclusions | Owner: Member 1 | Synthetic sample data | Snapshot: 2026-08-13</x:v>
      </x:c>
    </x:row>
    <x:row r="4" ht="30" customHeight="1">
      <x:c r="A4" s="26" t="str">
        <x:v>rca_id</x:v>
      </x:c>
      <x:c r="B4" s="26" t="str">
        <x:v>incident_id</x:v>
      </x:c>
      <x:c r="C4" s="26" t="str">
        <x:v>method</x:v>
      </x:c>
      <x:c r="D4" s="26" t="str">
        <x:v>problem_statement</x:v>
      </x:c>
      <x:c r="E4" s="26" t="str">
        <x:v>primary_cause_category</x:v>
      </x:c>
      <x:c r="F4" s="26" t="str">
        <x:v>root_cause</x:v>
      </x:c>
      <x:c r="G4" s="26" t="str">
        <x:v>contributing_factors</x:v>
      </x:c>
      <x:c r="H4" s="26" t="str">
        <x:v>completed_by</x:v>
      </x:c>
      <x:c r="I4" s="26" t="str">
        <x:v>completed_at</x:v>
      </x:c>
      <x:c r="J4" s="26" t="str">
        <x:v>status</x:v>
      </x:c>
    </x:row>
    <x:row r="5" ht="24" customHeight="1">
      <x:c r="A5" s="31" t="str">
        <x:v>RCA-001</x:v>
      </x:c>
      <x:c r="B5" s="31" t="str">
        <x:v>INC-2026-0089</x:v>
      </x:c>
      <x:c r="C5" s="31" t="str">
        <x:v>FIVE_WHYS</x:v>
      </x:c>
      <x:c r="D5" s="31" t="str">
        <x:v>Hand cut during guard adjustment</x:v>
      </x:c>
      <x:c r="E5" s="31" t="str">
        <x:v>PROCEDURE</x:v>
      </x:c>
      <x:c r="F5" s="33" t="str">
        <x:v>Task-specific procedure and tool-selection control were incomplete.</x:v>
      </x:c>
      <x:c r="G5" s="33" t="str">
        <x:v>Synthetic analysis for workflow and reporting tests; validate with the investigation owner.</x:v>
      </x:c>
      <x:c r="H5" s="31" t="str">
        <x:v>EMP-010</x:v>
      </x:c>
      <x:c r="I5" s="32"/>
      <x:c r="J5" s="31" t="str">
        <x:v>IN_PROGRESS</x:v>
      </x:c>
    </x:row>
    <x:row r="6" ht="24" customHeight="1">
      <x:c r="A6" s="36" t="str">
        <x:v>RCA-002</x:v>
      </x:c>
      <x:c r="B6" s="36" t="str">
        <x:v>INC-2026-0088</x:v>
      </x:c>
      <x:c r="C6" s="36" t="str">
        <x:v>FISHBONE</x:v>
      </x:c>
      <x:c r="D6" s="36" t="str">
        <x:v>Material roll shifted on trolley</x:v>
      </x:c>
      <x:c r="E6" s="36" t="str">
        <x:v>EQUIPMENT</x:v>
      </x:c>
      <x:c r="F6" s="38" t="str">
        <x:v>Physical storage restraint was not included in the rack standard.</x:v>
      </x:c>
      <x:c r="G6" s="38" t="str">
        <x:v>Synthetic analysis for workflow and reporting tests; validate with the investigation owner.</x:v>
      </x:c>
      <x:c r="H6" s="36" t="str">
        <x:v>EMP-011</x:v>
      </x:c>
      <x:c r="I6" s="37"/>
      <x:c r="J6" s="36" t="str">
        <x:v>IN_PROGRESS</x:v>
      </x:c>
    </x:row>
    <x:row r="7" ht="24" customHeight="1">
      <x:c r="A7" s="36" t="str">
        <x:v>RCA-003</x:v>
      </x:c>
      <x:c r="B7" s="36" t="str">
        <x:v>INC-2026-0087</x:v>
      </x:c>
      <x:c r="C7" s="36" t="str">
        <x:v>TRIPOD</x:v>
      </x:c>
      <x:c r="D7" s="36" t="str">
        <x:v>Forklift contacted empty rack</x:v>
      </x:c>
      <x:c r="E7" s="36" t="str">
        <x:v>HUMAN_FACTOR</x:v>
      </x:c>
      <x:c r="F7" s="38" t="str">
        <x:v>Preventive inspection criteria did not detect the defect early enough.</x:v>
      </x:c>
      <x:c r="G7" s="38" t="str">
        <x:v>Synthetic analysis for workflow and reporting tests; validate with the investigation owner.</x:v>
      </x:c>
      <x:c r="H7" s="36" t="str">
        <x:v>EMP-011</x:v>
      </x:c>
      <x:c r="I7" s="37"/>
      <x:c r="J7" s="36" t="str">
        <x:v>IN_PROGRESS</x:v>
      </x:c>
    </x:row>
    <x:row r="8" ht="24" customHeight="1">
      <x:c r="A8" s="36" t="str">
        <x:v>RCA-004</x:v>
      </x:c>
      <x:c r="B8" s="36" t="str">
        <x:v>INC-2026-0086</x:v>
      </x:c>
      <x:c r="C8" s="36" t="str">
        <x:v>FIVE_WHYS</x:v>
      </x:c>
      <x:c r="D8" s="36" t="str">
        <x:v>Emergency exit partly obstructed</x:v>
      </x:c>
      <x:c r="E8" s="36" t="str">
        <x:v>HOUSEKEEPING</x:v>
      </x:c>
      <x:c r="F8" s="38" t="str">
        <x:v>Housekeeping ownership and verification frequency were unclear.</x:v>
      </x:c>
      <x:c r="G8" s="38" t="str">
        <x:v>Synthetic analysis for workflow and reporting tests; validate with the investigation owner.</x:v>
      </x:c>
      <x:c r="H8" s="36" t="str">
        <x:v>EMP-012</x:v>
      </x:c>
      <x:c r="I8" s="37" t="n">
        <x:v>46236</x:v>
      </x:c>
      <x:c r="J8" s="36" t="str">
        <x:v>APPROVED</x:v>
      </x:c>
    </x:row>
    <x:row r="9" ht="24" customHeight="1">
      <x:c r="A9" s="36" t="str">
        <x:v>RCA-005</x:v>
      </x:c>
      <x:c r="B9" s="36" t="str">
        <x:v>INC-2026-0085</x:v>
      </x:c>
      <x:c r="C9" s="36" t="str">
        <x:v>FISHBONE</x:v>
      </x:c>
      <x:c r="D9" s="36" t="str">
        <x:v>Unexpected voltage indication</x:v>
      </x:c>
      <x:c r="E9" s="36" t="str">
        <x:v>SUPERVISION</x:v>
      </x:c>
      <x:c r="F9" s="38" t="str">
        <x:v>Pre-work verification did not fully address the changing work condition.</x:v>
      </x:c>
      <x:c r="G9" s="38" t="str">
        <x:v>Synthetic analysis for workflow and reporting tests; validate with the investigation owner.</x:v>
      </x:c>
      <x:c r="H9" s="36" t="str">
        <x:v>EMP-010</x:v>
      </x:c>
      <x:c r="I9" s="37" t="n">
        <x:v>46233</x:v>
      </x:c>
      <x:c r="J9" s="36" t="str">
        <x:v>APPROVED</x:v>
      </x:c>
    </x:row>
    <x:row r="10" ht="24" customHeight="1">
      <x:c r="A10" s="36" t="str">
        <x:v>RCA-006</x:v>
      </x:c>
      <x:c r="B10" s="36" t="str">
        <x:v>INC-2026-0084</x:v>
      </x:c>
      <x:c r="C10" s="36" t="str">
        <x:v>TRIPOD</x:v>
      </x:c>
      <x:c r="D10" s="36" t="str">
        <x:v>Slip near injection cooling area</x:v>
      </x:c>
      <x:c r="E10" s="36" t="str">
        <x:v>PROCEDURE</x:v>
      </x:c>
      <x:c r="F10" s="38" t="str">
        <x:v>Task-specific procedure and tool-selection control were incomplete.</x:v>
      </x:c>
      <x:c r="G10" s="38" t="str">
        <x:v>Synthetic analysis for workflow and reporting tests; validate with the investigation owner.</x:v>
      </x:c>
      <x:c r="H10" s="36" t="str">
        <x:v>EMP-008</x:v>
      </x:c>
      <x:c r="I10" s="37" t="n">
        <x:v>46232</x:v>
      </x:c>
      <x:c r="J10" s="36" t="str">
        <x:v>APPROVED</x:v>
      </x:c>
    </x:row>
    <x:row r="11" ht="24" customHeight="1">
      <x:c r="A11" s="36" t="str">
        <x:v>RCA-007</x:v>
      </x:c>
      <x:c r="B11" s="36" t="str">
        <x:v>INC-2026-0083</x:v>
      </x:c>
      <x:c r="C11" s="36" t="str">
        <x:v>FIVE_WHYS</x:v>
      </x:c>
      <x:c r="D11" s="36" t="str">
        <x:v>Minor chemical splash on glove</x:v>
      </x:c>
      <x:c r="E11" s="36" t="str">
        <x:v>EQUIPMENT</x:v>
      </x:c>
      <x:c r="F11" s="38" t="str">
        <x:v>Physical storage restraint was not included in the rack standard.</x:v>
      </x:c>
      <x:c r="G11" s="38" t="str">
        <x:v>Synthetic analysis for workflow and reporting tests; validate with the investigation owner.</x:v>
      </x:c>
      <x:c r="H11" s="36" t="str">
        <x:v>EMP-012</x:v>
      </x:c>
      <x:c r="I11" s="37" t="n">
        <x:v>46221</x:v>
      </x:c>
      <x:c r="J11" s="36" t="str">
        <x:v>APPROVED</x:v>
      </x:c>
    </x:row>
    <x:row r="12" ht="24" customHeight="1">
      <x:c r="A12" s="36" t="str">
        <x:v>RCA-008</x:v>
      </x:c>
      <x:c r="B12" s="36" t="str">
        <x:v>INC-2026-0082</x:v>
      </x:c>
      <x:c r="C12" s="36" t="str">
        <x:v>FISHBONE</x:v>
      </x:c>
      <x:c r="D12" s="36" t="str">
        <x:v>Pallet wrap caught on wheel</x:v>
      </x:c>
      <x:c r="E12" s="36" t="str">
        <x:v>HUMAN_FACTOR</x:v>
      </x:c>
      <x:c r="F12" s="38" t="str">
        <x:v>Preventive inspection criteria did not detect the defect early enough.</x:v>
      </x:c>
      <x:c r="G12" s="38" t="str">
        <x:v>Synthetic analysis for workflow and reporting tests; validate with the investigation owner.</x:v>
      </x:c>
      <x:c r="H12" s="36" t="str">
        <x:v>EMP-011</x:v>
      </x:c>
      <x:c r="I12" s="37" t="n">
        <x:v>46210</x:v>
      </x:c>
      <x:c r="J12" s="36" t="str">
        <x:v>APPROVED</x:v>
      </x:c>
    </x:row>
    <x:row r="13" ht="24" customHeight="1">
      <x:c r="A13" s="36" t="str">
        <x:v>RCA-009</x:v>
      </x:c>
      <x:c r="B13" s="36" t="str">
        <x:v>INC-2026-0081</x:v>
      </x:c>
      <x:c r="C13" s="36" t="str">
        <x:v>TRIPOD</x:v>
      </x:c>
      <x:c r="D13" s="36" t="str">
        <x:v>Grinding without face shield</x:v>
      </x:c>
      <x:c r="E13" s="36" t="str">
        <x:v>HOUSEKEEPING</x:v>
      </x:c>
      <x:c r="F13" s="38" t="str">
        <x:v>Housekeeping ownership and verification frequency were unclear.</x:v>
      </x:c>
      <x:c r="G13" s="38" t="str">
        <x:v>Synthetic analysis for workflow and reporting tests; validate with the investigation owner.</x:v>
      </x:c>
      <x:c r="H13" s="36" t="str">
        <x:v>EMP-010</x:v>
      </x:c>
      <x:c r="I13" s="37" t="n">
        <x:v>46192</x:v>
      </x:c>
      <x:c r="J13" s="36" t="str">
        <x:v>APPROVED</x:v>
      </x:c>
    </x:row>
    <x:row r="14" ht="24" customHeight="1">
      <x:c r="A14" s="41" t="str">
        <x:v>RCA-010</x:v>
      </x:c>
      <x:c r="B14" s="41" t="str">
        <x:v>INC-2026-0080</x:v>
      </x:c>
      <x:c r="C14" s="41" t="str">
        <x:v>FIVE_WHYS</x:v>
      </x:c>
      <x:c r="D14" s="41" t="str">
        <x:v>Sensor bracket bent</x:v>
      </x:c>
      <x:c r="E14" s="41" t="str">
        <x:v>SUPERVISION</x:v>
      </x:c>
      <x:c r="F14" s="43" t="str">
        <x:v>Pre-work verification did not fully address the changing work condition.</x:v>
      </x:c>
      <x:c r="G14" s="43" t="str">
        <x:v>Synthetic analysis for workflow and reporting tests; validate with the investigation owner.</x:v>
      </x:c>
      <x:c r="H14" s="41" t="str">
        <x:v>EMP-012</x:v>
      </x:c>
      <x:c r="I14" s="42" t="n">
        <x:v>46175</x:v>
      </x:c>
      <x:c r="J14" s="41" t="str">
        <x:v>APPROVED</x:v>
      </x:c>
    </x:row>
  </x:sheetData>
  <x:mergeCells>
    <x:mergeCell ref="A1:J1"/>
    <x:mergeCell ref="A2:J2"/>
  </x:mergeCells>
  <x:conditionalFormatting sqref="J5:J14">
    <x:cfRule type="containsText" dxfId="825" priority="1" operator="containsText" text="CRITICAL"/>
    <x:cfRule type="containsText" dxfId="826" priority="2" operator="containsText" text="EXPIRED"/>
    <x:cfRule type="containsText" dxfId="827" priority="3" operator="containsText" text="FAILED"/>
    <x:cfRule type="containsText" dxfId="828" priority="4" operator="containsText" text="OVERDUE"/>
    <x:cfRule type="containsText" dxfId="829" priority="5" operator="containsText" text="REJECTED"/>
    <x:cfRule type="containsText" dxfId="830" priority="6" operator="containsText" text="OUT_OF_SERVICE"/>
    <x:cfRule type="containsText" dxfId="831" priority="7" operator="containsText" text="BELOW_THRESHOLD"/>
    <x:cfRule type="containsText" dxfId="832" priority="8" operator="containsText" text="HIGH"/>
    <x:cfRule type="containsText" dxfId="833" priority="9" operator="containsText" text="WARNING"/>
    <x:cfRule type="containsText" dxfId="834" priority="10" operator="containsText" text="DUE_SOON"/>
    <x:cfRule type="containsText" dxfId="835" priority="11" operator="containsText" text="OPEN"/>
    <x:cfRule type="containsText" dxfId="836" priority="12" operator="containsText" text="PENDING"/>
    <x:cfRule type="containsText" dxfId="837" priority="13" operator="containsText" text="SUSPENDED"/>
    <x:cfRule type="containsText" dxfId="838" priority="14" operator="containsText" text="TESTING"/>
    <x:cfRule type="containsText" dxfId="839" priority="15" operator="containsText" text="PARTIAL_FAILURE"/>
    <x:cfRule type="containsText" dxfId="840" priority="16" operator="containsText" text="LOW_STOCK"/>
    <x:cfRule type="containsText" dxfId="841" priority="17" operator="containsText" text="ACTIVE"/>
    <x:cfRule type="containsText" dxfId="842" priority="18" operator="containsText" text="VALID"/>
    <x:cfRule type="containsText" dxfId="843" priority="19" operator="containsText" text="SUCCESS"/>
    <x:cfRule type="containsText" dxfId="844" priority="20" operator="containsText" text="COMPLETED"/>
    <x:cfRule type="containsText" dxfId="845" priority="21" operator="containsText" text="CLOSED"/>
    <x:cfRule type="containsText" dxfId="846" priority="22" operator="containsText" text="CONNECTED"/>
    <x:cfRule type="containsText" dxfId="847" priority="23" operator="containsText" text="NORMAL"/>
    <x:cfRule type="containsText" dxfId="848" priority="24" operator="containsText" text="VERIFIED"/>
    <x:cfRule type="containsText" dxfId="849" priority="25" operator="containsText" text="RESOLVED"/>
    <x:cfRule type="containsText" dxfId="850" priority="26" operator="containsText" text="PASS"/>
    <x:cfRule type="containsText" dxfId="851" priority="27" operator="containsText" text="OK"/>
    <x:cfRule type="containsText" dxfId="852" priority="28" operator="containsText" text="INFO"/>
    <x:cfRule type="containsText" dxfId="853" priority="29" operator="containsText" text="DRAFT"/>
    <x:cfRule type="containsText" dxfId="854" priority="30" operator="containsText" text="SCHEDULED"/>
    <x:cfRule type="containsText" dxfId="855" priority="31" operator="containsText" text="IN_PROGRESS"/>
    <x:cfRule type="containsText" dxfId="856" priority="32" operator="containsText" text="MODEL_REVIEW"/>
    <x:cfRule type="containsText" dxfId="857" priority="33" operator="containsText" text="READ"/>
  </x:conditionalFormatting>
  <x:dataValidations count="2">
    <x:dataValidation type="list" sqref="C5:C14">
      <x:formula1>"FIVE_WHYS,FISHBONE,TRIPOD"</x:formula1>
    </x:dataValidation>
    <x:dataValidation type="list" sqref="J5:J14">
      <x:formula1>"DRAFT,IN_PROGRESS,APPROVED,REJECTED"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ba7fd73a81453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3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2" customHeight="1">
      <x:c r="A1" s="17" t="str">
        <x:v>ESCA HSE | Inspection_Responses</x:v>
      </x:c>
      <x:c r="B1" s="17" t="str">
        <x:v>ESCA HSE | Inspection_Responses</x:v>
      </x:c>
      <x:c r="C1" s="17" t="str">
        <x:v>ESCA HSE | Inspection_Responses</x:v>
      </x:c>
      <x:c r="D1" s="17" t="str">
        <x:v>ESCA HSE | Inspection_Responses</x:v>
      </x:c>
      <x:c r="E1" s="17" t="str">
        <x:v>ESCA HSE | Inspection_Responses</x:v>
      </x:c>
      <x:c r="F1" s="17" t="str">
        <x:v>ESCA HSE | Inspection_Responses</x:v>
      </x:c>
      <x:c r="G1" s="17" t="str">
        <x:v>ESCA HSE | Inspection_Responses</x:v>
      </x:c>
      <x:c r="H1" s="17" t="str">
        <x:v>ESCA HSE | Inspection_Responses</x:v>
      </x:c>
      <x:c r="I1" s="17" t="str">
        <x:v>ESCA HSE | Inspection_Responses</x:v>
      </x:c>
      <x:c r="J1" s="17" t="str">
        <x:v>ESCA HSE | Inspection_Responses</x:v>
      </x:c>
    </x:row>
    <x:row r="2" ht="28" customHeight="1">
      <x:c r="A2" s="21" t="str">
        <x:v>Mobile/web inspection checklist responses | Owner: Member 2 + Member 3 | Synthetic sample data | Snapshot: 2026-08-13</x:v>
      </x:c>
      <x:c r="B2" s="21" t="str">
        <x:v>Mobile/web inspection checklist responses | Owner: Member 2 + Member 3 | Synthetic sample data | Snapshot: 2026-08-13</x:v>
      </x:c>
      <x:c r="C2" s="21" t="str">
        <x:v>Mobile/web inspection checklist responses | Owner: Member 2 + Member 3 | Synthetic sample data | Snapshot: 2026-08-13</x:v>
      </x:c>
      <x:c r="D2" s="21" t="str">
        <x:v>Mobile/web inspection checklist responses | Owner: Member 2 + Member 3 | Synthetic sample data | Snapshot: 2026-08-13</x:v>
      </x:c>
      <x:c r="E2" s="21" t="str">
        <x:v>Mobile/web inspection checklist responses | Owner: Member 2 + Member 3 | Synthetic sample data | Snapshot: 2026-08-13</x:v>
      </x:c>
      <x:c r="F2" s="21" t="str">
        <x:v>Mobile/web inspection checklist responses | Owner: Member 2 + Member 3 | Synthetic sample data | Snapshot: 2026-08-13</x:v>
      </x:c>
      <x:c r="G2" s="21" t="str">
        <x:v>Mobile/web inspection checklist responses | Owner: Member 2 + Member 3 | Synthetic sample data | Snapshot: 2026-08-13</x:v>
      </x:c>
      <x:c r="H2" s="21" t="str">
        <x:v>Mobile/web inspection checklist responses | Owner: Member 2 + Member 3 | Synthetic sample data | Snapshot: 2026-08-13</x:v>
      </x:c>
      <x:c r="I2" s="21" t="str">
        <x:v>Mobile/web inspection checklist responses | Owner: Member 2 + Member 3 | Synthetic sample data | Snapshot: 2026-08-13</x:v>
      </x:c>
      <x:c r="J2" s="21" t="str">
        <x:v>Mobile/web inspection checklist responses | Owner: Member 2 + Member 3 | Synthetic sample data | Snapshot: 2026-08-13</x:v>
      </x:c>
    </x:row>
    <x:row r="4" ht="30" customHeight="1">
      <x:c r="A4" s="26" t="str">
        <x:v>response_id</x:v>
      </x:c>
      <x:c r="B4" s="26" t="str">
        <x:v>inspection_id</x:v>
      </x:c>
      <x:c r="C4" s="26" t="str">
        <x:v>item_code</x:v>
      </x:c>
      <x:c r="D4" s="26" t="str">
        <x:v>question_text</x:v>
      </x:c>
      <x:c r="E4" s="26" t="str">
        <x:v>response</x:v>
      </x:c>
      <x:c r="F4" s="26" t="str">
        <x:v>score</x:v>
      </x:c>
      <x:c r="G4" s="26" t="str">
        <x:v>finding_id</x:v>
      </x:c>
      <x:c r="H4" s="26" t="str">
        <x:v>recorded_at</x:v>
      </x:c>
      <x:c r="I4" s="26" t="str">
        <x:v>recorded_by</x:v>
      </x:c>
      <x:c r="J4" s="26" t="str">
        <x:v>evidence_ref</x:v>
      </x:c>
    </x:row>
    <x:row r="5" ht="24" customHeight="1">
      <x:c r="A5" s="31" t="str">
        <x:v>IRSP-0001</x:v>
      </x:c>
      <x:c r="B5" s="31" t="str">
        <x:v>INS-2026-0129</x:v>
      </x:c>
      <x:c r="C5" s="31" t="str">
        <x:v>ACCESS_CLEAR</x:v>
      </x:c>
      <x:c r="D5" s="33" t="str">
        <x:v>Is access and egress clear?</x:v>
      </x:c>
      <x:c r="E5" s="31" t="str">
        <x:v>YES</x:v>
      </x:c>
      <x:c r="F5" s="57" t="n">
        <x:v>1</x:v>
      </x:c>
      <x:c r="G5" s="31"/>
      <x:c r="H5" s="32" t="n">
        <x:v>46246.336805555555</x:v>
      </x:c>
      <x:c r="I5" s="31" t="str">
        <x:v>EMP-010</x:v>
      </x:c>
      <x:c r="J5" s="31"/>
    </x:row>
    <x:row r="6" ht="24" customHeight="1">
      <x:c r="A6" s="36" t="str">
        <x:v>IRSP-0002</x:v>
      </x:c>
      <x:c r="B6" s="36" t="str">
        <x:v>INS-2026-0129</x:v>
      </x:c>
      <x:c r="C6" s="36" t="str">
        <x:v>PPE_COMPLIANCE</x:v>
      </x:c>
      <x:c r="D6" s="38" t="str">
        <x:v>Are task PPE requirements met?</x:v>
      </x:c>
      <x:c r="E6" s="36" t="str">
        <x:v>YES</x:v>
      </x:c>
      <x:c r="F6" s="58" t="n">
        <x:v>1</x:v>
      </x:c>
      <x:c r="G6" s="36"/>
      <x:c r="H6" s="37" t="n">
        <x:v>46246.336805555555</x:v>
      </x:c>
      <x:c r="I6" s="36" t="str">
        <x:v>EMP-010</x:v>
      </x:c>
      <x:c r="J6" s="36"/>
    </x:row>
    <x:row r="7" ht="24" customHeight="1">
      <x:c r="A7" s="36" t="str">
        <x:v>IRSP-0003</x:v>
      </x:c>
      <x:c r="B7" s="36" t="str">
        <x:v>INS-2026-0129</x:v>
      </x:c>
      <x:c r="C7" s="36" t="str">
        <x:v>EMERGENCY_READY</x:v>
      </x:c>
      <x:c r="D7" s="38" t="str">
        <x:v>Are emergency controls available and serviceable?</x:v>
      </x:c>
      <x:c r="E7" s="36" t="str">
        <x:v>YES</x:v>
      </x:c>
      <x:c r="F7" s="58" t="n">
        <x:v>1</x:v>
      </x:c>
      <x:c r="G7" s="36"/>
      <x:c r="H7" s="37" t="n">
        <x:v>46246.336805555555</x:v>
      </x:c>
      <x:c r="I7" s="36" t="str">
        <x:v>EMP-010</x:v>
      </x:c>
      <x:c r="J7" s="36"/>
    </x:row>
    <x:row r="8" ht="24" customHeight="1">
      <x:c r="A8" s="36" t="str">
        <x:v>IRSP-0004</x:v>
      </x:c>
      <x:c r="B8" s="36" t="str">
        <x:v>INS-2026-0128</x:v>
      </x:c>
      <x:c r="C8" s="36" t="str">
        <x:v>ACCESS_CLEAR</x:v>
      </x:c>
      <x:c r="D8" s="38" t="str">
        <x:v>Is access and egress clear?</x:v>
      </x:c>
      <x:c r="E8" s="36" t="str">
        <x:v>NOT_CHECKED</x:v>
      </x:c>
      <x:c r="F8" s="58"/>
      <x:c r="G8" s="36"/>
      <x:c r="H8" s="37"/>
      <x:c r="I8" s="36"/>
      <x:c r="J8" s="36"/>
    </x:row>
    <x:row r="9" ht="24" customHeight="1">
      <x:c r="A9" s="36" t="str">
        <x:v>IRSP-0005</x:v>
      </x:c>
      <x:c r="B9" s="36" t="str">
        <x:v>INS-2026-0128</x:v>
      </x:c>
      <x:c r="C9" s="36" t="str">
        <x:v>PPE_COMPLIANCE</x:v>
      </x:c>
      <x:c r="D9" s="38" t="str">
        <x:v>Are task PPE requirements met?</x:v>
      </x:c>
      <x:c r="E9" s="36" t="str">
        <x:v>NOT_CHECKED</x:v>
      </x:c>
      <x:c r="F9" s="58"/>
      <x:c r="G9" s="36"/>
      <x:c r="H9" s="37"/>
      <x:c r="I9" s="36"/>
      <x:c r="J9" s="36"/>
    </x:row>
    <x:row r="10" ht="24" customHeight="1">
      <x:c r="A10" s="36" t="str">
        <x:v>IRSP-0006</x:v>
      </x:c>
      <x:c r="B10" s="36" t="str">
        <x:v>INS-2026-0128</x:v>
      </x:c>
      <x:c r="C10" s="36" t="str">
        <x:v>EMERGENCY_READY</x:v>
      </x:c>
      <x:c r="D10" s="38" t="str">
        <x:v>Are emergency controls available and serviceable?</x:v>
      </x:c>
      <x:c r="E10" s="36" t="str">
        <x:v>NOT_CHECKED</x:v>
      </x:c>
      <x:c r="F10" s="58"/>
      <x:c r="G10" s="36"/>
      <x:c r="H10" s="37"/>
      <x:c r="I10" s="36"/>
      <x:c r="J10" s="36"/>
    </x:row>
    <x:row r="11" ht="24" customHeight="1">
      <x:c r="A11" s="36" t="str">
        <x:v>IRSP-0007</x:v>
      </x:c>
      <x:c r="B11" s="36" t="str">
        <x:v>INS-2026-0127</x:v>
      </x:c>
      <x:c r="C11" s="36" t="str">
        <x:v>ACCESS_CLEAR</x:v>
      </x:c>
      <x:c r="D11" s="38" t="str">
        <x:v>Is access and egress clear?</x:v>
      </x:c>
      <x:c r="E11" s="36" t="str">
        <x:v>NO</x:v>
      </x:c>
      <x:c r="F11" s="58" t="n">
        <x:v>0</x:v>
      </x:c>
      <x:c r="G11" s="36" t="str">
        <x:v>FND-004</x:v>
      </x:c>
      <x:c r="H11" s="37" t="n">
        <x:v>46242.29861111111</x:v>
      </x:c>
      <x:c r="I11" s="36" t="str">
        <x:v>EMP-012</x:v>
      </x:c>
      <x:c r="J11" s="36" t="str">
        <x:v>photos/synthetic/INS-2026-0127-ACCESS_CLEAR.jpg</x:v>
      </x:c>
    </x:row>
    <x:row r="12" ht="24" customHeight="1">
      <x:c r="A12" s="36" t="str">
        <x:v>IRSP-0008</x:v>
      </x:c>
      <x:c r="B12" s="36" t="str">
        <x:v>INS-2026-0127</x:v>
      </x:c>
      <x:c r="C12" s="36" t="str">
        <x:v>PPE_COMPLIANCE</x:v>
      </x:c>
      <x:c r="D12" s="38" t="str">
        <x:v>Are task PPE requirements met?</x:v>
      </x:c>
      <x:c r="E12" s="36" t="str">
        <x:v>YES</x:v>
      </x:c>
      <x:c r="F12" s="58" t="n">
        <x:v>1</x:v>
      </x:c>
      <x:c r="G12" s="36"/>
      <x:c r="H12" s="37" t="n">
        <x:v>46242.29861111111</x:v>
      </x:c>
      <x:c r="I12" s="36" t="str">
        <x:v>EMP-012</x:v>
      </x:c>
      <x:c r="J12" s="36"/>
    </x:row>
    <x:row r="13" ht="24" customHeight="1">
      <x:c r="A13" s="36" t="str">
        <x:v>IRSP-0009</x:v>
      </x:c>
      <x:c r="B13" s="36" t="str">
        <x:v>INS-2026-0127</x:v>
      </x:c>
      <x:c r="C13" s="36" t="str">
        <x:v>EMERGENCY_READY</x:v>
      </x:c>
      <x:c r="D13" s="38" t="str">
        <x:v>Are emergency controls available and serviceable?</x:v>
      </x:c>
      <x:c r="E13" s="36" t="str">
        <x:v>YES</x:v>
      </x:c>
      <x:c r="F13" s="58" t="n">
        <x:v>1</x:v>
      </x:c>
      <x:c r="G13" s="36"/>
      <x:c r="H13" s="37" t="n">
        <x:v>46242.29861111111</x:v>
      </x:c>
      <x:c r="I13" s="36" t="str">
        <x:v>EMP-012</x:v>
      </x:c>
      <x:c r="J13" s="36"/>
    </x:row>
    <x:row r="14" ht="24" customHeight="1">
      <x:c r="A14" s="36" t="str">
        <x:v>IRSP-0010</x:v>
      </x:c>
      <x:c r="B14" s="36" t="str">
        <x:v>INS-2026-0126</x:v>
      </x:c>
      <x:c r="C14" s="36" t="str">
        <x:v>ACCESS_CLEAR</x:v>
      </x:c>
      <x:c r="D14" s="38" t="str">
        <x:v>Is access and egress clear?</x:v>
      </x:c>
      <x:c r="E14" s="36" t="str">
        <x:v>YES</x:v>
      </x:c>
      <x:c r="F14" s="58" t="n">
        <x:v>1</x:v>
      </x:c>
      <x:c r="G14" s="36"/>
      <x:c r="H14" s="37" t="n">
        <x:v>46240.270833333336</x:v>
      </x:c>
      <x:c r="I14" s="36" t="str">
        <x:v>EMP-010</x:v>
      </x:c>
      <x:c r="J14" s="36"/>
    </x:row>
    <x:row r="15" ht="24" customHeight="1">
      <x:c r="A15" s="36" t="str">
        <x:v>IRSP-0011</x:v>
      </x:c>
      <x:c r="B15" s="36" t="str">
        <x:v>INS-2026-0126</x:v>
      </x:c>
      <x:c r="C15" s="36" t="str">
        <x:v>PPE_COMPLIANCE</x:v>
      </x:c>
      <x:c r="D15" s="38" t="str">
        <x:v>Are task PPE requirements met?</x:v>
      </x:c>
      <x:c r="E15" s="36" t="str">
        <x:v>YES</x:v>
      </x:c>
      <x:c r="F15" s="58" t="n">
        <x:v>1</x:v>
      </x:c>
      <x:c r="G15" s="36"/>
      <x:c r="H15" s="37" t="n">
        <x:v>46240.270833333336</x:v>
      </x:c>
      <x:c r="I15" s="36" t="str">
        <x:v>EMP-010</x:v>
      </x:c>
      <x:c r="J15" s="36"/>
    </x:row>
    <x:row r="16" ht="24" customHeight="1">
      <x:c r="A16" s="36" t="str">
        <x:v>IRSP-0012</x:v>
      </x:c>
      <x:c r="B16" s="36" t="str">
        <x:v>INS-2026-0126</x:v>
      </x:c>
      <x:c r="C16" s="36" t="str">
        <x:v>EMERGENCY_READY</x:v>
      </x:c>
      <x:c r="D16" s="38" t="str">
        <x:v>Are emergency controls available and serviceable?</x:v>
      </x:c>
      <x:c r="E16" s="36" t="str">
        <x:v>YES</x:v>
      </x:c>
      <x:c r="F16" s="58" t="n">
        <x:v>1</x:v>
      </x:c>
      <x:c r="G16" s="36"/>
      <x:c r="H16" s="37" t="n">
        <x:v>46240.270833333336</x:v>
      </x:c>
      <x:c r="I16" s="36" t="str">
        <x:v>EMP-010</x:v>
      </x:c>
      <x:c r="J16" s="36"/>
    </x:row>
    <x:row r="17" ht="24" customHeight="1">
      <x:c r="A17" s="36" t="str">
        <x:v>IRSP-0013</x:v>
      </x:c>
      <x:c r="B17" s="36" t="str">
        <x:v>INS-2026-0125</x:v>
      </x:c>
      <x:c r="C17" s="36" t="str">
        <x:v>ACCESS_CLEAR</x:v>
      </x:c>
      <x:c r="D17" s="38" t="str">
        <x:v>Is access and egress clear?</x:v>
      </x:c>
      <x:c r="E17" s="36" t="str">
        <x:v>YES</x:v>
      </x:c>
      <x:c r="F17" s="58" t="n">
        <x:v>1</x:v>
      </x:c>
      <x:c r="G17" s="36"/>
      <x:c r="H17" s="37" t="n">
        <x:v>46239.38888888889</x:v>
      </x:c>
      <x:c r="I17" s="36" t="str">
        <x:v>EMP-012</x:v>
      </x:c>
      <x:c r="J17" s="36"/>
    </x:row>
    <x:row r="18" ht="24" customHeight="1">
      <x:c r="A18" s="36" t="str">
        <x:v>IRSP-0014</x:v>
      </x:c>
      <x:c r="B18" s="36" t="str">
        <x:v>INS-2026-0125</x:v>
      </x:c>
      <x:c r="C18" s="36" t="str">
        <x:v>PPE_COMPLIANCE</x:v>
      </x:c>
      <x:c r="D18" s="38" t="str">
        <x:v>Are task PPE requirements met?</x:v>
      </x:c>
      <x:c r="E18" s="36" t="str">
        <x:v>NO</x:v>
      </x:c>
      <x:c r="F18" s="58" t="n">
        <x:v>0</x:v>
      </x:c>
      <x:c r="G18" s="36" t="str">
        <x:v>FND-005</x:v>
      </x:c>
      <x:c r="H18" s="37" t="n">
        <x:v>46239.38888888889</x:v>
      </x:c>
      <x:c r="I18" s="36" t="str">
        <x:v>EMP-012</x:v>
      </x:c>
      <x:c r="J18" s="36" t="str">
        <x:v>photos/synthetic/INS-2026-0125-PPE_COMPLIANCE.jpg</x:v>
      </x:c>
    </x:row>
    <x:row r="19" ht="24" customHeight="1">
      <x:c r="A19" s="36" t="str">
        <x:v>IRSP-0015</x:v>
      </x:c>
      <x:c r="B19" s="36" t="str">
        <x:v>INS-2026-0125</x:v>
      </x:c>
      <x:c r="C19" s="36" t="str">
        <x:v>EMERGENCY_READY</x:v>
      </x:c>
      <x:c r="D19" s="38" t="str">
        <x:v>Are emergency controls available and serviceable?</x:v>
      </x:c>
      <x:c r="E19" s="36" t="str">
        <x:v>YES</x:v>
      </x:c>
      <x:c r="F19" s="58" t="n">
        <x:v>1</x:v>
      </x:c>
      <x:c r="G19" s="36"/>
      <x:c r="H19" s="37" t="n">
        <x:v>46239.38888888889</x:v>
      </x:c>
      <x:c r="I19" s="36" t="str">
        <x:v>EMP-012</x:v>
      </x:c>
      <x:c r="J19" s="36"/>
    </x:row>
    <x:row r="20" ht="24" customHeight="1">
      <x:c r="A20" s="36" t="str">
        <x:v>IRSP-0016</x:v>
      </x:c>
      <x:c r="B20" s="36" t="str">
        <x:v>INS-2026-0124</x:v>
      </x:c>
      <x:c r="C20" s="36" t="str">
        <x:v>ACCESS_CLEAR</x:v>
      </x:c>
      <x:c r="D20" s="38" t="str">
        <x:v>Is access and egress clear?</x:v>
      </x:c>
      <x:c r="E20" s="36" t="str">
        <x:v>YES</x:v>
      </x:c>
      <x:c r="F20" s="58" t="n">
        <x:v>1</x:v>
      </x:c>
      <x:c r="G20" s="36"/>
      <x:c r="H20" s="37" t="n">
        <x:v>46237.48611111111</x:v>
      </x:c>
      <x:c r="I20" s="36" t="str">
        <x:v>EMP-011</x:v>
      </x:c>
      <x:c r="J20" s="36"/>
    </x:row>
    <x:row r="21" ht="24" customHeight="1">
      <x:c r="A21" s="36" t="str">
        <x:v>IRSP-0017</x:v>
      </x:c>
      <x:c r="B21" s="36" t="str">
        <x:v>INS-2026-0124</x:v>
      </x:c>
      <x:c r="C21" s="36" t="str">
        <x:v>PPE_COMPLIANCE</x:v>
      </x:c>
      <x:c r="D21" s="38" t="str">
        <x:v>Are task PPE requirements met?</x:v>
      </x:c>
      <x:c r="E21" s="36" t="str">
        <x:v>YES</x:v>
      </x:c>
      <x:c r="F21" s="58" t="n">
        <x:v>1</x:v>
      </x:c>
      <x:c r="G21" s="36"/>
      <x:c r="H21" s="37" t="n">
        <x:v>46237.48611111111</x:v>
      </x:c>
      <x:c r="I21" s="36" t="str">
        <x:v>EMP-011</x:v>
      </x:c>
      <x:c r="J21" s="36"/>
    </x:row>
    <x:row r="22" ht="24" customHeight="1">
      <x:c r="A22" s="36" t="str">
        <x:v>IRSP-0018</x:v>
      </x:c>
      <x:c r="B22" s="36" t="str">
        <x:v>INS-2026-0124</x:v>
      </x:c>
      <x:c r="C22" s="36" t="str">
        <x:v>EMERGENCY_READY</x:v>
      </x:c>
      <x:c r="D22" s="38" t="str">
        <x:v>Are emergency controls available and serviceable?</x:v>
      </x:c>
      <x:c r="E22" s="36" t="str">
        <x:v>YES</x:v>
      </x:c>
      <x:c r="F22" s="58" t="n">
        <x:v>1</x:v>
      </x:c>
      <x:c r="G22" s="36"/>
      <x:c r="H22" s="37" t="n">
        <x:v>46237.48611111111</x:v>
      </x:c>
      <x:c r="I22" s="36" t="str">
        <x:v>EMP-011</x:v>
      </x:c>
      <x:c r="J22" s="36"/>
    </x:row>
    <x:row r="23" ht="24" customHeight="1">
      <x:c r="A23" s="36" t="str">
        <x:v>IRSP-0019</x:v>
      </x:c>
      <x:c r="B23" s="36" t="str">
        <x:v>INS-2026-0123</x:v>
      </x:c>
      <x:c r="C23" s="36" t="str">
        <x:v>ACCESS_CLEAR</x:v>
      </x:c>
      <x:c r="D23" s="38" t="str">
        <x:v>Is access and egress clear?</x:v>
      </x:c>
      <x:c r="E23" s="36" t="str">
        <x:v>YES</x:v>
      </x:c>
      <x:c r="F23" s="58" t="n">
        <x:v>1</x:v>
      </x:c>
      <x:c r="G23" s="36"/>
      <x:c r="H23" s="37" t="n">
        <x:v>46235.291666666664</x:v>
      </x:c>
      <x:c r="I23" s="36" t="str">
        <x:v>EMP-010</x:v>
      </x:c>
      <x:c r="J23" s="36"/>
    </x:row>
    <x:row r="24" ht="24" customHeight="1">
      <x:c r="A24" s="36" t="str">
        <x:v>IRSP-0020</x:v>
      </x:c>
      <x:c r="B24" s="36" t="str">
        <x:v>INS-2026-0123</x:v>
      </x:c>
      <x:c r="C24" s="36" t="str">
        <x:v>PPE_COMPLIANCE</x:v>
      </x:c>
      <x:c r="D24" s="38" t="str">
        <x:v>Are task PPE requirements met?</x:v>
      </x:c>
      <x:c r="E24" s="36" t="str">
        <x:v>NO</x:v>
      </x:c>
      <x:c r="F24" s="58" t="n">
        <x:v>0</x:v>
      </x:c>
      <x:c r="G24" s="36" t="str">
        <x:v>FND-008</x:v>
      </x:c>
      <x:c r="H24" s="37" t="n">
        <x:v>46235.291666666664</x:v>
      </x:c>
      <x:c r="I24" s="36" t="str">
        <x:v>EMP-010</x:v>
      </x:c>
      <x:c r="J24" s="36" t="str">
        <x:v>photos/synthetic/INS-2026-0123-PPE_COMPLIANCE.jpg</x:v>
      </x:c>
    </x:row>
    <x:row r="25" ht="24" customHeight="1">
      <x:c r="A25" s="36" t="str">
        <x:v>IRSP-0021</x:v>
      </x:c>
      <x:c r="B25" s="36" t="str">
        <x:v>INS-2026-0123</x:v>
      </x:c>
      <x:c r="C25" s="36" t="str">
        <x:v>EMERGENCY_READY</x:v>
      </x:c>
      <x:c r="D25" s="38" t="str">
        <x:v>Are emergency controls available and serviceable?</x:v>
      </x:c>
      <x:c r="E25" s="36" t="str">
        <x:v>YES</x:v>
      </x:c>
      <x:c r="F25" s="58" t="n">
        <x:v>1</x:v>
      </x:c>
      <x:c r="G25" s="36"/>
      <x:c r="H25" s="37" t="n">
        <x:v>46235.291666666664</x:v>
      </x:c>
      <x:c r="I25" s="36" t="str">
        <x:v>EMP-010</x:v>
      </x:c>
      <x:c r="J25" s="36"/>
    </x:row>
    <x:row r="26" ht="24" customHeight="1">
      <x:c r="A26" s="36" t="str">
        <x:v>IRSP-0022</x:v>
      </x:c>
      <x:c r="B26" s="36" t="str">
        <x:v>INS-2026-0130</x:v>
      </x:c>
      <x:c r="C26" s="36" t="str">
        <x:v>ACCESS_CLEAR</x:v>
      </x:c>
      <x:c r="D26" s="38" t="str">
        <x:v>Is access and egress clear?</x:v>
      </x:c>
      <x:c r="E26" s="36" t="str">
        <x:v>NOT_CHECKED</x:v>
      </x:c>
      <x:c r="F26" s="58"/>
      <x:c r="G26" s="36"/>
      <x:c r="H26" s="37"/>
      <x:c r="I26" s="36"/>
      <x:c r="J26" s="36"/>
    </x:row>
    <x:row r="27" ht="24" customHeight="1">
      <x:c r="A27" s="36" t="str">
        <x:v>IRSP-0023</x:v>
      </x:c>
      <x:c r="B27" s="36" t="str">
        <x:v>INS-2026-0130</x:v>
      </x:c>
      <x:c r="C27" s="36" t="str">
        <x:v>PPE_COMPLIANCE</x:v>
      </x:c>
      <x:c r="D27" s="38" t="str">
        <x:v>Are task PPE requirements met?</x:v>
      </x:c>
      <x:c r="E27" s="36" t="str">
        <x:v>NOT_CHECKED</x:v>
      </x:c>
      <x:c r="F27" s="58"/>
      <x:c r="G27" s="36"/>
      <x:c r="H27" s="37"/>
      <x:c r="I27" s="36"/>
      <x:c r="J27" s="36"/>
    </x:row>
    <x:row r="28" ht="24" customHeight="1">
      <x:c r="A28" s="36" t="str">
        <x:v>IRSP-0024</x:v>
      </x:c>
      <x:c r="B28" s="36" t="str">
        <x:v>INS-2026-0130</x:v>
      </x:c>
      <x:c r="C28" s="36" t="str">
        <x:v>EMERGENCY_READY</x:v>
      </x:c>
      <x:c r="D28" s="38" t="str">
        <x:v>Are emergency controls available and serviceable?</x:v>
      </x:c>
      <x:c r="E28" s="36" t="str">
        <x:v>NOT_CHECKED</x:v>
      </x:c>
      <x:c r="F28" s="58"/>
      <x:c r="G28" s="36"/>
      <x:c r="H28" s="37"/>
      <x:c r="I28" s="36"/>
      <x:c r="J28" s="36"/>
    </x:row>
    <x:row r="29" ht="24" customHeight="1">
      <x:c r="A29" s="36" t="str">
        <x:v>IRSP-0025</x:v>
      </x:c>
      <x:c r="B29" s="36" t="str">
        <x:v>INS-2026-0131</x:v>
      </x:c>
      <x:c r="C29" s="36" t="str">
        <x:v>ACCESS_CLEAR</x:v>
      </x:c>
      <x:c r="D29" s="38" t="str">
        <x:v>Is access and egress clear?</x:v>
      </x:c>
      <x:c r="E29" s="36" t="str">
        <x:v>NOT_CHECKED</x:v>
      </x:c>
      <x:c r="F29" s="58"/>
      <x:c r="G29" s="36"/>
      <x:c r="H29" s="37"/>
      <x:c r="I29" s="36"/>
      <x:c r="J29" s="36"/>
    </x:row>
    <x:row r="30" ht="24" customHeight="1">
      <x:c r="A30" s="36" t="str">
        <x:v>IRSP-0026</x:v>
      </x:c>
      <x:c r="B30" s="36" t="str">
        <x:v>INS-2026-0131</x:v>
      </x:c>
      <x:c r="C30" s="36" t="str">
        <x:v>PPE_COMPLIANCE</x:v>
      </x:c>
      <x:c r="D30" s="38" t="str">
        <x:v>Are task PPE requirements met?</x:v>
      </x:c>
      <x:c r="E30" s="36" t="str">
        <x:v>NOT_CHECKED</x:v>
      </x:c>
      <x:c r="F30" s="58"/>
      <x:c r="G30" s="36"/>
      <x:c r="H30" s="37"/>
      <x:c r="I30" s="36"/>
      <x:c r="J30" s="36"/>
    </x:row>
    <x:row r="31" ht="24" customHeight="1">
      <x:c r="A31" s="36" t="str">
        <x:v>IRSP-0027</x:v>
      </x:c>
      <x:c r="B31" s="36" t="str">
        <x:v>INS-2026-0131</x:v>
      </x:c>
      <x:c r="C31" s="36" t="str">
        <x:v>EMERGENCY_READY</x:v>
      </x:c>
      <x:c r="D31" s="38" t="str">
        <x:v>Are emergency controls available and serviceable?</x:v>
      </x:c>
      <x:c r="E31" s="36" t="str">
        <x:v>NOT_CHECKED</x:v>
      </x:c>
      <x:c r="F31" s="58"/>
      <x:c r="G31" s="36"/>
      <x:c r="H31" s="37"/>
      <x:c r="I31" s="36"/>
      <x:c r="J31" s="36"/>
    </x:row>
    <x:row r="32" ht="24" customHeight="1">
      <x:c r="A32" s="36" t="str">
        <x:v>IRSP-0028</x:v>
      </x:c>
      <x:c r="B32" s="36" t="str">
        <x:v>INS-2026-0122</x:v>
      </x:c>
      <x:c r="C32" s="36" t="str">
        <x:v>ACCESS_CLEAR</x:v>
      </x:c>
      <x:c r="D32" s="38" t="str">
        <x:v>Is access and egress clear?</x:v>
      </x:c>
      <x:c r="E32" s="36" t="str">
        <x:v>NOT_CHECKED</x:v>
      </x:c>
      <x:c r="F32" s="58"/>
      <x:c r="G32" s="36"/>
      <x:c r="H32" s="37"/>
      <x:c r="I32" s="36"/>
      <x:c r="J32" s="36"/>
    </x:row>
    <x:row r="33" ht="24" customHeight="1">
      <x:c r="A33" s="36" t="str">
        <x:v>IRSP-0029</x:v>
      </x:c>
      <x:c r="B33" s="36" t="str">
        <x:v>INS-2026-0122</x:v>
      </x:c>
      <x:c r="C33" s="36" t="str">
        <x:v>PPE_COMPLIANCE</x:v>
      </x:c>
      <x:c r="D33" s="38" t="str">
        <x:v>Are task PPE requirements met?</x:v>
      </x:c>
      <x:c r="E33" s="36" t="str">
        <x:v>NOT_CHECKED</x:v>
      </x:c>
      <x:c r="F33" s="58"/>
      <x:c r="G33" s="36"/>
      <x:c r="H33" s="37"/>
      <x:c r="I33" s="36"/>
      <x:c r="J33" s="36"/>
    </x:row>
    <x:row r="34" ht="24" customHeight="1">
      <x:c r="A34" s="41" t="str">
        <x:v>IRSP-0030</x:v>
      </x:c>
      <x:c r="B34" s="41" t="str">
        <x:v>INS-2026-0122</x:v>
      </x:c>
      <x:c r="C34" s="41" t="str">
        <x:v>EMERGENCY_READY</x:v>
      </x:c>
      <x:c r="D34" s="43" t="str">
        <x:v>Are emergency controls available and serviceable?</x:v>
      </x:c>
      <x:c r="E34" s="41" t="str">
        <x:v>NOT_CHECKED</x:v>
      </x:c>
      <x:c r="F34" s="59"/>
      <x:c r="G34" s="41"/>
      <x:c r="H34" s="42"/>
      <x:c r="I34" s="41"/>
      <x:c r="J34" s="41"/>
    </x:row>
  </x:sheetData>
  <x:mergeCells>
    <x:mergeCell ref="A1:J1"/>
    <x:mergeCell ref="A2:J2"/>
  </x:mergeCells>
  <x:dataValidations count="1">
    <x:dataValidation type="list" sqref="E5:E34">
      <x:formula1>"YES,NO,NA,NOT_CHECKED"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791325c294e0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2" customHeight="1">
      <x:c r="A1" s="17" t="str">
        <x:v>ESCA HSE | Monthly_KPIs</x:v>
      </x:c>
      <x:c r="B1" s="17" t="str">
        <x:v>ESCA HSE | Monthly_KPIs</x:v>
      </x:c>
      <x:c r="C1" s="17" t="str">
        <x:v>ESCA HSE | Monthly_KPIs</x:v>
      </x:c>
      <x:c r="D1" s="17" t="str">
        <x:v>ESCA HSE | Monthly_KPIs</x:v>
      </x:c>
      <x:c r="E1" s="17" t="str">
        <x:v>ESCA HSE | Monthly_KPIs</x:v>
      </x:c>
      <x:c r="F1" s="17" t="str">
        <x:v>ESCA HSE | Monthly_KPIs</x:v>
      </x:c>
      <x:c r="G1" s="17" t="str">
        <x:v>ESCA HSE | Monthly_KPIs</x:v>
      </x:c>
      <x:c r="H1" s="17" t="str">
        <x:v>ESCA HSE | Monthly_KPIs</x:v>
      </x:c>
      <x:c r="I1" s="17" t="str">
        <x:v>ESCA HSE | Monthly_KPIs</x:v>
      </x:c>
      <x:c r="J1" s="17" t="str">
        <x:v>ESCA HSE | Monthly_KPIs</x:v>
      </x:c>
      <x:c r="K1" s="17" t="str">
        <x:v>ESCA HSE | Monthly_KPIs</x:v>
      </x:c>
      <x:c r="L1" s="17" t="str">
        <x:v>ESCA HSE | Monthly_KPIs</x:v>
      </x:c>
      <x:c r="M1" s="17" t="str">
        <x:v>ESCA HSE | Monthly_KPIs</x:v>
      </x:c>
    </x:row>
    <x:row r="2" ht="28" customHeight="1">
      <x:c r="A2" s="21" t="str">
        <x:v>Report and dashboard KPI inputs | Owner: Member 2 + Member 3 | Synthetic sample data | Snapshot: 2026-08-13</x:v>
      </x:c>
      <x:c r="B2" s="21" t="str">
        <x:v>Report and dashboard KPI inputs | Owner: Member 2 + Member 3 | Synthetic sample data | Snapshot: 2026-08-13</x:v>
      </x:c>
      <x:c r="C2" s="21" t="str">
        <x:v>Report and dashboard KPI inputs | Owner: Member 2 + Member 3 | Synthetic sample data | Snapshot: 2026-08-13</x:v>
      </x:c>
      <x:c r="D2" s="21" t="str">
        <x:v>Report and dashboard KPI inputs | Owner: Member 2 + Member 3 | Synthetic sample data | Snapshot: 2026-08-13</x:v>
      </x:c>
      <x:c r="E2" s="21" t="str">
        <x:v>Report and dashboard KPI inputs | Owner: Member 2 + Member 3 | Synthetic sample data | Snapshot: 2026-08-13</x:v>
      </x:c>
      <x:c r="F2" s="21" t="str">
        <x:v>Report and dashboard KPI inputs | Owner: Member 2 + Member 3 | Synthetic sample data | Snapshot: 2026-08-13</x:v>
      </x:c>
      <x:c r="G2" s="21" t="str">
        <x:v>Report and dashboard KPI inputs | Owner: Member 2 + Member 3 | Synthetic sample data | Snapshot: 2026-08-13</x:v>
      </x:c>
      <x:c r="H2" s="21" t="str">
        <x:v>Report and dashboard KPI inputs | Owner: Member 2 + Member 3 | Synthetic sample data | Snapshot: 2026-08-13</x:v>
      </x:c>
      <x:c r="I2" s="21" t="str">
        <x:v>Report and dashboard KPI inputs | Owner: Member 2 + Member 3 | Synthetic sample data | Snapshot: 2026-08-13</x:v>
      </x:c>
      <x:c r="J2" s="21" t="str">
        <x:v>Report and dashboard KPI inputs | Owner: Member 2 + Member 3 | Synthetic sample data | Snapshot: 2026-08-13</x:v>
      </x:c>
      <x:c r="K2" s="21" t="str">
        <x:v>Report and dashboard KPI inputs | Owner: Member 2 + Member 3 | Synthetic sample data | Snapshot: 2026-08-13</x:v>
      </x:c>
      <x:c r="L2" s="21" t="str">
        <x:v>Report and dashboard KPI inputs | Owner: Member 2 + Member 3 | Synthetic sample data | Snapshot: 2026-08-13</x:v>
      </x:c>
      <x:c r="M2" s="21" t="str">
        <x:v>Report and dashboard KPI inputs | Owner: Member 2 + Member 3 | Synthetic sample data | Snapshot: 2026-08-13</x:v>
      </x:c>
    </x:row>
    <x:row r="4" ht="30" customHeight="1">
      <x:c r="A4" s="26" t="str">
        <x:v>kpi_id</x:v>
      </x:c>
      <x:c r="B4" s="26" t="str">
        <x:v>month</x:v>
      </x:c>
      <x:c r="C4" s="26" t="str">
        <x:v>hours_worked</x:v>
      </x:c>
      <x:c r="D4" s="26" t="str">
        <x:v>recordable_incidents</x:v>
      </x:c>
      <x:c r="E4" s="26" t="str">
        <x:v>lost_time_injuries</x:v>
      </x:c>
      <x:c r="F4" s="26" t="str">
        <x:v>lost_days</x:v>
      </x:c>
      <x:c r="G4" s="26" t="str">
        <x:v>near_misses</x:v>
      </x:c>
      <x:c r="H4" s="26" t="str">
        <x:v>safety_observations</x:v>
      </x:c>
      <x:c r="I4" s="26" t="str">
        <x:v>inspections_completed</x:v>
      </x:c>
      <x:c r="J4" s="26" t="str">
        <x:v>training_hours</x:v>
      </x:c>
      <x:c r="K4" s="26" t="str">
        <x:v>trir</x:v>
      </x:c>
      <x:c r="L4" s="26" t="str">
        <x:v>ltifr</x:v>
      </x:c>
      <x:c r="M4" s="26" t="str">
        <x:v>severity_rate</x:v>
      </x:c>
    </x:row>
    <x:row r="5" ht="24" customHeight="1">
      <x:c r="A5" s="31" t="str">
        <x:v>KPI-2026-01</x:v>
      </x:c>
      <x:c r="B5" s="31" t="str">
        <x:v>2026-01</x:v>
      </x:c>
      <x:c r="C5" s="34" t="n">
        <x:v>160000</x:v>
      </x:c>
      <x:c r="D5" s="34" t="n">
        <x:v>1</x:v>
      </x:c>
      <x:c r="E5" s="34" t="n">
        <x:v>0</x:v>
      </x:c>
      <x:c r="F5" s="34" t="n">
        <x:v>0</x:v>
      </x:c>
      <x:c r="G5" s="34" t="n">
        <x:v>4</x:v>
      </x:c>
      <x:c r="H5" s="34" t="n">
        <x:v>38</x:v>
      </x:c>
      <x:c r="I5" s="34" t="n">
        <x:v>14</x:v>
      </x:c>
      <x:c r="J5" s="34" t="n">
        <x:v>480</x:v>
      </x:c>
      <x:c r="K5" s="31" t="n">
        <x:f>IF(C5=0,0,D5*200000/C5)</x:f>
        <x:v>1.25</x:v>
      </x:c>
      <x:c r="L5" s="31" t="n">
        <x:f>IF(C5=0,0,E5*1000000/C5)</x:f>
        <x:v>0</x:v>
      </x:c>
      <x:c r="M5" s="31" t="n">
        <x:f>IF(C5=0,0,F5*200000/C5)</x:f>
        <x:v>0</x:v>
      </x:c>
    </x:row>
    <x:row r="6" ht="24" customHeight="1">
      <x:c r="A6" s="36" t="str">
        <x:v>KPI-2026-02</x:v>
      </x:c>
      <x:c r="B6" s="36" t="str">
        <x:v>2026-02</x:v>
      </x:c>
      <x:c r="C6" s="39" t="n">
        <x:v>158000</x:v>
      </x:c>
      <x:c r="D6" s="39" t="n">
        <x:v>2</x:v>
      </x:c>
      <x:c r="E6" s="39" t="n">
        <x:v>0</x:v>
      </x:c>
      <x:c r="F6" s="39" t="n">
        <x:v>0</x:v>
      </x:c>
      <x:c r="G6" s="39" t="n">
        <x:v>6</x:v>
      </x:c>
      <x:c r="H6" s="39" t="n">
        <x:v>44</x:v>
      </x:c>
      <x:c r="I6" s="39" t="n">
        <x:v>15</x:v>
      </x:c>
      <x:c r="J6" s="39" t="n">
        <x:v>510</x:v>
      </x:c>
      <x:c r="K6" s="36" t="n">
        <x:f>IF(C6=0,0,D6*200000/C6)</x:f>
        <x:v>2.5316455696202533</x:v>
      </x:c>
      <x:c r="L6" s="36" t="n">
        <x:f>IF(C6=0,0,E6*1000000/C6)</x:f>
        <x:v>0</x:v>
      </x:c>
      <x:c r="M6" s="36" t="n">
        <x:f>IF(C6=0,0,F6*200000/C6)</x:f>
        <x:v>0</x:v>
      </x:c>
    </x:row>
    <x:row r="7" ht="24" customHeight="1">
      <x:c r="A7" s="36" t="str">
        <x:v>KPI-2026-03</x:v>
      </x:c>
      <x:c r="B7" s="36" t="str">
        <x:v>2026-03</x:v>
      </x:c>
      <x:c r="C7" s="39" t="n">
        <x:v>164000</x:v>
      </x:c>
      <x:c r="D7" s="39" t="n">
        <x:v>3</x:v>
      </x:c>
      <x:c r="E7" s="39" t="n">
        <x:v>1</x:v>
      </x:c>
      <x:c r="F7" s="39" t="n">
        <x:v>5</x:v>
      </x:c>
      <x:c r="G7" s="39" t="n">
        <x:v>5</x:v>
      </x:c>
      <x:c r="H7" s="39" t="n">
        <x:v>51</x:v>
      </x:c>
      <x:c r="I7" s="39" t="n">
        <x:v>16</x:v>
      </x:c>
      <x:c r="J7" s="39" t="n">
        <x:v>525</x:v>
      </x:c>
      <x:c r="K7" s="36" t="n">
        <x:f>IF(C7=0,0,D7*200000/C7)</x:f>
        <x:v>3.658536585365854</x:v>
      </x:c>
      <x:c r="L7" s="36" t="n">
        <x:f>IF(C7=0,0,E7*1000000/C7)</x:f>
        <x:v>6.097560975609756</x:v>
      </x:c>
      <x:c r="M7" s="36" t="n">
        <x:f>IF(C7=0,0,F7*200000/C7)</x:f>
        <x:v>6.097560975609756</x:v>
      </x:c>
    </x:row>
    <x:row r="8" ht="24" customHeight="1">
      <x:c r="A8" s="36" t="str">
        <x:v>KPI-2026-04</x:v>
      </x:c>
      <x:c r="B8" s="36" t="str">
        <x:v>2026-04</x:v>
      </x:c>
      <x:c r="C8" s="39" t="n">
        <x:v>162000</x:v>
      </x:c>
      <x:c r="D8" s="39" t="n">
        <x:v>1</x:v>
      </x:c>
      <x:c r="E8" s="39" t="n">
        <x:v>0</x:v>
      </x:c>
      <x:c r="F8" s="39" t="n">
        <x:v>0</x:v>
      </x:c>
      <x:c r="G8" s="39" t="n">
        <x:v>7</x:v>
      </x:c>
      <x:c r="H8" s="39" t="n">
        <x:v>47</x:v>
      </x:c>
      <x:c r="I8" s="39" t="n">
        <x:v>15</x:v>
      </x:c>
      <x:c r="J8" s="39" t="n">
        <x:v>560</x:v>
      </x:c>
      <x:c r="K8" s="36" t="n">
        <x:f>IF(C8=0,0,D8*200000/C8)</x:f>
        <x:v>1.2345679012345678</x:v>
      </x:c>
      <x:c r="L8" s="36" t="n">
        <x:f>IF(C8=0,0,E8*1000000/C8)</x:f>
        <x:v>0</x:v>
      </x:c>
      <x:c r="M8" s="36" t="n">
        <x:f>IF(C8=0,0,F8*200000/C8)</x:f>
        <x:v>0</x:v>
      </x:c>
    </x:row>
    <x:row r="9" ht="24" customHeight="1">
      <x:c r="A9" s="36" t="str">
        <x:v>KPI-2026-05</x:v>
      </x:c>
      <x:c r="B9" s="36" t="str">
        <x:v>2026-05</x:v>
      </x:c>
      <x:c r="C9" s="39" t="n">
        <x:v>166000</x:v>
      </x:c>
      <x:c r="D9" s="39" t="n">
        <x:v>2</x:v>
      </x:c>
      <x:c r="E9" s="39" t="n">
        <x:v>0</x:v>
      </x:c>
      <x:c r="F9" s="39" t="n">
        <x:v>0</x:v>
      </x:c>
      <x:c r="G9" s="39" t="n">
        <x:v>6</x:v>
      </x:c>
      <x:c r="H9" s="39" t="n">
        <x:v>55</x:v>
      </x:c>
      <x:c r="I9" s="39" t="n">
        <x:v>16</x:v>
      </x:c>
      <x:c r="J9" s="39" t="n">
        <x:v>590</x:v>
      </x:c>
      <x:c r="K9" s="36" t="n">
        <x:f>IF(C9=0,0,D9*200000/C9)</x:f>
        <x:v>2.4096385542168677</x:v>
      </x:c>
      <x:c r="L9" s="36" t="n">
        <x:f>IF(C9=0,0,E9*1000000/C9)</x:f>
        <x:v>0</x:v>
      </x:c>
      <x:c r="M9" s="36" t="n">
        <x:f>IF(C9=0,0,F9*200000/C9)</x:f>
        <x:v>0</x:v>
      </x:c>
    </x:row>
    <x:row r="10" ht="24" customHeight="1">
      <x:c r="A10" s="36" t="str">
        <x:v>KPI-2026-06</x:v>
      </x:c>
      <x:c r="B10" s="36" t="str">
        <x:v>2026-06</x:v>
      </x:c>
      <x:c r="C10" s="39" t="n">
        <x:v>165000</x:v>
      </x:c>
      <x:c r="D10" s="39" t="n">
        <x:v>1</x:v>
      </x:c>
      <x:c r="E10" s="39" t="n">
        <x:v>0</x:v>
      </x:c>
      <x:c r="F10" s="39" t="n">
        <x:v>0</x:v>
      </x:c>
      <x:c r="G10" s="39" t="n">
        <x:v>8</x:v>
      </x:c>
      <x:c r="H10" s="39" t="n">
        <x:v>62</x:v>
      </x:c>
      <x:c r="I10" s="39" t="n">
        <x:v>17</x:v>
      </x:c>
      <x:c r="J10" s="39" t="n">
        <x:v>610</x:v>
      </x:c>
      <x:c r="K10" s="36" t="n">
        <x:f>IF(C10=0,0,D10*200000/C10)</x:f>
        <x:v>1.2121212121212122</x:v>
      </x:c>
      <x:c r="L10" s="36" t="n">
        <x:f>IF(C10=0,0,E10*1000000/C10)</x:f>
        <x:v>0</x:v>
      </x:c>
      <x:c r="M10" s="36" t="n">
        <x:f>IF(C10=0,0,F10*200000/C10)</x:f>
        <x:v>0</x:v>
      </x:c>
    </x:row>
    <x:row r="11" ht="24" customHeight="1">
      <x:c r="A11" s="36" t="str">
        <x:v>KPI-2026-07</x:v>
      </x:c>
      <x:c r="B11" s="36" t="str">
        <x:v>2026-07</x:v>
      </x:c>
      <x:c r="C11" s="39" t="n">
        <x:v>168000</x:v>
      </x:c>
      <x:c r="D11" s="39" t="n">
        <x:v>2</x:v>
      </x:c>
      <x:c r="E11" s="39" t="n">
        <x:v>1</x:v>
      </x:c>
      <x:c r="F11" s="39" t="n">
        <x:v>3</x:v>
      </x:c>
      <x:c r="G11" s="39" t="n">
        <x:v>7</x:v>
      </x:c>
      <x:c r="H11" s="39" t="n">
        <x:v>58</x:v>
      </x:c>
      <x:c r="I11" s="39" t="n">
        <x:v>18</x:v>
      </x:c>
      <x:c r="J11" s="39" t="n">
        <x:v>640</x:v>
      </x:c>
      <x:c r="K11" s="36" t="n">
        <x:f>IF(C11=0,0,D11*200000/C11)</x:f>
        <x:v>2.380952380952381</x:v>
      </x:c>
      <x:c r="L11" s="36" t="n">
        <x:f>IF(C11=0,0,E11*1000000/C11)</x:f>
        <x:v>5.9523809523809526</x:v>
      </x:c>
      <x:c r="M11" s="36" t="n">
        <x:f>IF(C11=0,0,F11*200000/C11)</x:f>
        <x:v>3.5714285714285716</x:v>
      </x:c>
    </x:row>
    <x:row r="12" ht="24" customHeight="1">
      <x:c r="A12" s="41" t="str">
        <x:v>KPI-2026-08</x:v>
      </x:c>
      <x:c r="B12" s="41" t="str">
        <x:v>2026-08</x:v>
      </x:c>
      <x:c r="C12" s="44" t="n">
        <x:v>141000</x:v>
      </x:c>
      <x:c r="D12" s="44" t="n">
        <x:v>1</x:v>
      </x:c>
      <x:c r="E12" s="44" t="n">
        <x:v>0</x:v>
      </x:c>
      <x:c r="F12" s="44" t="n">
        <x:v>0</x:v>
      </x:c>
      <x:c r="G12" s="44" t="n">
        <x:v>5</x:v>
      </x:c>
      <x:c r="H12" s="44" t="n">
        <x:v>39</x:v>
      </x:c>
      <x:c r="I12" s="44" t="n">
        <x:v>10</x:v>
      </x:c>
      <x:c r="J12" s="44" t="n">
        <x:v>365</x:v>
      </x:c>
      <x:c r="K12" s="41" t="n">
        <x:f>IF(C12=0,0,D12*200000/C12)</x:f>
        <x:v>1.4184397163120568</x:v>
      </x:c>
      <x:c r="L12" s="41" t="n">
        <x:f>IF(C12=0,0,E12*1000000/C12)</x:f>
        <x:v>0</x:v>
      </x:c>
      <x:c r="M12" s="41" t="n">
        <x:f>IF(C12=0,0,F12*200000/C12)</x:f>
        <x:v>0</x:v>
      </x:c>
    </x:row>
  </x:sheetData>
  <x:mergeCells>
    <x:mergeCell ref="A1:M1"/>
    <x:mergeCell ref="A2:M2"/>
  </x:mergeCells>
  <x:conditionalFormatting sqref="M5:M12">
    <x:cfRule type="containsText" dxfId="858" priority="1" operator="containsText" text="CRITICAL"/>
    <x:cfRule type="containsText" dxfId="859" priority="2" operator="containsText" text="EXPIRED"/>
    <x:cfRule type="containsText" dxfId="860" priority="3" operator="containsText" text="FAILED"/>
    <x:cfRule type="containsText" dxfId="861" priority="4" operator="containsText" text="OVERDUE"/>
    <x:cfRule type="containsText" dxfId="862" priority="5" operator="containsText" text="REJECTED"/>
    <x:cfRule type="containsText" dxfId="863" priority="6" operator="containsText" text="OUT_OF_SERVICE"/>
    <x:cfRule type="containsText" dxfId="864" priority="7" operator="containsText" text="BELOW_THRESHOLD"/>
    <x:cfRule type="containsText" dxfId="865" priority="8" operator="containsText" text="HIGH"/>
    <x:cfRule type="containsText" dxfId="866" priority="9" operator="containsText" text="WARNING"/>
    <x:cfRule type="containsText" dxfId="867" priority="10" operator="containsText" text="DUE_SOON"/>
    <x:cfRule type="containsText" dxfId="868" priority="11" operator="containsText" text="OPEN"/>
    <x:cfRule type="containsText" dxfId="869" priority="12" operator="containsText" text="PENDING"/>
    <x:cfRule type="containsText" dxfId="870" priority="13" operator="containsText" text="SUSPENDED"/>
    <x:cfRule type="containsText" dxfId="871" priority="14" operator="containsText" text="TESTING"/>
    <x:cfRule type="containsText" dxfId="872" priority="15" operator="containsText" text="PARTIAL_FAILURE"/>
    <x:cfRule type="containsText" dxfId="873" priority="16" operator="containsText" text="LOW_STOCK"/>
    <x:cfRule type="containsText" dxfId="874" priority="17" operator="containsText" text="ACTIVE"/>
    <x:cfRule type="containsText" dxfId="875" priority="18" operator="containsText" text="VALID"/>
    <x:cfRule type="containsText" dxfId="876" priority="19" operator="containsText" text="SUCCESS"/>
    <x:cfRule type="containsText" dxfId="877" priority="20" operator="containsText" text="COMPLETED"/>
    <x:cfRule type="containsText" dxfId="878" priority="21" operator="containsText" text="CLOSED"/>
    <x:cfRule type="containsText" dxfId="879" priority="22" operator="containsText" text="CONNECTED"/>
    <x:cfRule type="containsText" dxfId="880" priority="23" operator="containsText" text="NORMAL"/>
    <x:cfRule type="containsText" dxfId="881" priority="24" operator="containsText" text="VERIFIED"/>
    <x:cfRule type="containsText" dxfId="882" priority="25" operator="containsText" text="RESOLVED"/>
    <x:cfRule type="containsText" dxfId="883" priority="26" operator="containsText" text="PASS"/>
    <x:cfRule type="containsText" dxfId="884" priority="27" operator="containsText" text="OK"/>
    <x:cfRule type="containsText" dxfId="885" priority="28" operator="containsText" text="INFO"/>
    <x:cfRule type="containsText" dxfId="886" priority="29" operator="containsText" text="DRAFT"/>
    <x:cfRule type="containsText" dxfId="887" priority="30" operator="containsText" text="SCHEDULED"/>
    <x:cfRule type="containsText" dxfId="888" priority="31" operator="containsText" text="IN_PROGRESS"/>
    <x:cfRule type="containsText" dxfId="889" priority="32" operator="containsText" text="MODEL_REVIEW"/>
    <x:cfRule type="containsText" dxfId="890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bec06ef53de64c9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</x:cols>
  <x:sheetData>
    <x:row r="1" ht="32" customHeight="1">
      <x:c r="A1" s="17" t="str">
        <x:v>ESCA HSE | Report_Definitions</x:v>
      </x:c>
      <x:c r="B1" s="17" t="str">
        <x:v>ESCA HSE | Report_Definitions</x:v>
      </x:c>
      <x:c r="C1" s="17" t="str">
        <x:v>ESCA HSE | Report_Definitions</x:v>
      </x:c>
      <x:c r="D1" s="17" t="str">
        <x:v>ESCA HSE | Report_Definitions</x:v>
      </x:c>
      <x:c r="E1" s="17" t="str">
        <x:v>ESCA HSE | Report_Definitions</x:v>
      </x:c>
      <x:c r="F1" s="17" t="str">
        <x:v>ESCA HSE | Report_Definitions</x:v>
      </x:c>
      <x:c r="G1" s="17" t="str">
        <x:v>ESCA HSE | Report_Definitions</x:v>
      </x:c>
      <x:c r="H1" s="17" t="str">
        <x:v>ESCA HSE | Report_Definitions</x:v>
      </x:c>
      <x:c r="I1" s="17" t="str">
        <x:v>ESCA HSE | Report_Definitions</x:v>
      </x:c>
      <x:c r="J1" s="17" t="str">
        <x:v>ESCA HSE | Report_Definitions</x:v>
      </x:c>
    </x:row>
    <x:row r="2" ht="28" customHeight="1">
      <x:c r="A2" s="21" t="str">
        <x:v>Report builder definitions and schedules | Owner: Member 2 + Member 3 | Synthetic sample data | Snapshot: 2026-08-13</x:v>
      </x:c>
      <x:c r="B2" s="21" t="str">
        <x:v>Report builder definitions and schedules | Owner: Member 2 + Member 3 | Synthetic sample data | Snapshot: 2026-08-13</x:v>
      </x:c>
      <x:c r="C2" s="21" t="str">
        <x:v>Report builder definitions and schedules | Owner: Member 2 + Member 3 | Synthetic sample data | Snapshot: 2026-08-13</x:v>
      </x:c>
      <x:c r="D2" s="21" t="str">
        <x:v>Report builder definitions and schedules | Owner: Member 2 + Member 3 | Synthetic sample data | Snapshot: 2026-08-13</x:v>
      </x:c>
      <x:c r="E2" s="21" t="str">
        <x:v>Report builder definitions and schedules | Owner: Member 2 + Member 3 | Synthetic sample data | Snapshot: 2026-08-13</x:v>
      </x:c>
      <x:c r="F2" s="21" t="str">
        <x:v>Report builder definitions and schedules | Owner: Member 2 + Member 3 | Synthetic sample data | Snapshot: 2026-08-13</x:v>
      </x:c>
      <x:c r="G2" s="21" t="str">
        <x:v>Report builder definitions and schedules | Owner: Member 2 + Member 3 | Synthetic sample data | Snapshot: 2026-08-13</x:v>
      </x:c>
      <x:c r="H2" s="21" t="str">
        <x:v>Report builder definitions and schedules | Owner: Member 2 + Member 3 | Synthetic sample data | Snapshot: 2026-08-13</x:v>
      </x:c>
      <x:c r="I2" s="21" t="str">
        <x:v>Report builder definitions and schedules | Owner: Member 2 + Member 3 | Synthetic sample data | Snapshot: 2026-08-13</x:v>
      </x:c>
      <x:c r="J2" s="21" t="str">
        <x:v>Report builder definitions and schedules | Owner: Member 2 + Member 3 | Synthetic sample data | Snapshot: 2026-08-13</x:v>
      </x:c>
    </x:row>
    <x:row r="4" ht="30" customHeight="1">
      <x:c r="A4" s="26" t="str">
        <x:v>report_id</x:v>
      </x:c>
      <x:c r="B4" s="26" t="str">
        <x:v>report_name</x:v>
      </x:c>
      <x:c r="C4" s="26" t="str">
        <x:v>report_type</x:v>
      </x:c>
      <x:c r="D4" s="26" t="str">
        <x:v>data_sources</x:v>
      </x:c>
      <x:c r="E4" s="26" t="str">
        <x:v>formats</x:v>
      </x:c>
      <x:c r="F4" s="26" t="str">
        <x:v>schedule_cron</x:v>
      </x:c>
      <x:c r="G4" s="26" t="str">
        <x:v>timezone</x:v>
      </x:c>
      <x:c r="H4" s="26" t="str">
        <x:v>recipient_role</x:v>
      </x:c>
      <x:c r="I4" s="26" t="str">
        <x:v>enabled_flag</x:v>
      </x:c>
      <x:c r="J4" s="26" t="str">
        <x:v>retention_days</x:v>
      </x:c>
    </x:row>
    <x:row r="5" ht="24" customHeight="1">
      <x:c r="A5" s="31" t="str">
        <x:v>RPT-001</x:v>
      </x:c>
      <x:c r="B5" s="31" t="str">
        <x:v>Monthly HSE Report</x:v>
      </x:c>
      <x:c r="C5" s="31" t="str">
        <x:v>MONTHLY_HSE</x:v>
      </x:c>
      <x:c r="D5" s="31" t="str">
        <x:v>KPI;INCIDENT;CAPA;TRAINING</x:v>
      </x:c>
      <x:c r="E5" s="31" t="str">
        <x:v>PDF;XLSX</x:v>
      </x:c>
      <x:c r="F5" s="31" t="str">
        <x:v>0 8 1 * *</x:v>
      </x:c>
      <x:c r="G5" s="31" t="str">
        <x:v>Africa/Cairo</x:v>
      </x:c>
      <x:c r="H5" s="31" t="str">
        <x:v>ROLE-HSE-MGR</x:v>
      </x:c>
      <x:c r="I5" s="53" t="b">
        <x:v>1</x:v>
      </x:c>
      <x:c r="J5" s="34" t="n">
        <x:v>730</x:v>
      </x:c>
    </x:row>
    <x:row r="6" ht="24" customHeight="1">
      <x:c r="A6" s="36" t="str">
        <x:v>RPT-002</x:v>
      </x:c>
      <x:c r="B6" s="36" t="str">
        <x:v>Incident Analysis</x:v>
      </x:c>
      <x:c r="C6" s="36" t="str">
        <x:v>INCIDENT_ANALYSIS</x:v>
      </x:c>
      <x:c r="D6" s="36" t="str">
        <x:v>INCIDENT;RCA;CAPA</x:v>
      </x:c>
      <x:c r="E6" s="36" t="str">
        <x:v>PDF;XLSX</x:v>
      </x:c>
      <x:c r="F6" s="36" t="str">
        <x:v>0 9 * * 1</x:v>
      </x:c>
      <x:c r="G6" s="36" t="str">
        <x:v>Africa/Cairo</x:v>
      </x:c>
      <x:c r="H6" s="36" t="str">
        <x:v>ROLE-HSE-MGR</x:v>
      </x:c>
      <x:c r="I6" s="54" t="b">
        <x:v>1</x:v>
      </x:c>
      <x:c r="J6" s="39" t="n">
        <x:v>730</x:v>
      </x:c>
    </x:row>
    <x:row r="7" ht="24" customHeight="1">
      <x:c r="A7" s="36" t="str">
        <x:v>RPT-003</x:v>
      </x:c>
      <x:c r="B7" s="36" t="str">
        <x:v>Fire Readiness</x:v>
      </x:c>
      <x:c r="C7" s="36" t="str">
        <x:v>FIRE_READINESS</x:v>
      </x:c>
      <x:c r="D7" s="36" t="str">
        <x:v>FIRE_EQUIPMENT;FIRE_INSPECTIONS</x:v>
      </x:c>
      <x:c r="E7" s="36" t="str">
        <x:v>PDF;XLSX</x:v>
      </x:c>
      <x:c r="F7" s="36" t="str">
        <x:v>0 8 * * 0</x:v>
      </x:c>
      <x:c r="G7" s="36" t="str">
        <x:v>Africa/Cairo</x:v>
      </x:c>
      <x:c r="H7" s="36" t="str">
        <x:v>ROLE-HSE-OFF</x:v>
      </x:c>
      <x:c r="I7" s="54" t="b">
        <x:v>1</x:v>
      </x:c>
      <x:c r="J7" s="39" t="n">
        <x:v>730</x:v>
      </x:c>
    </x:row>
    <x:row r="8" ht="24" customHeight="1">
      <x:c r="A8" s="36" t="str">
        <x:v>RPT-004</x:v>
      </x:c>
      <x:c r="B8" s="36" t="str">
        <x:v>Competency Matrix</x:v>
      </x:c>
      <x:c r="C8" s="36" t="str">
        <x:v>COMPETENCY</x:v>
      </x:c>
      <x:c r="D8" s="36" t="str">
        <x:v>EMPLOYEES;COURSES;CERTIFICATES</x:v>
      </x:c>
      <x:c r="E8" s="36" t="str">
        <x:v>XLSX</x:v>
      </x:c>
      <x:c r="F8" s="36" t="str">
        <x:v>0 7 * * *</x:v>
      </x:c>
      <x:c r="G8" s="36" t="str">
        <x:v>Africa/Cairo</x:v>
      </x:c>
      <x:c r="H8" s="36" t="str">
        <x:v>ROLE-HSE-MGR</x:v>
      </x:c>
      <x:c r="I8" s="54" t="b">
        <x:v>1</x:v>
      </x:c>
      <x:c r="J8" s="39" t="n">
        <x:v>730</x:v>
      </x:c>
    </x:row>
    <x:row r="9" ht="24" customHeight="1">
      <x:c r="A9" s="36" t="str">
        <x:v>RPT-005</x:v>
      </x:c>
      <x:c r="B9" s="36" t="str">
        <x:v>Risk Register</x:v>
      </x:c>
      <x:c r="C9" s="36" t="str">
        <x:v>RISK_REGISTER</x:v>
      </x:c>
      <x:c r="D9" s="36" t="str">
        <x:v>RISKS;JSA;CAPA</x:v>
      </x:c>
      <x:c r="E9" s="36" t="str">
        <x:v>PDF;XLSX</x:v>
      </x:c>
      <x:c r="F9" s="36" t="str">
        <x:v>0 10 1 * *</x:v>
      </x:c>
      <x:c r="G9" s="36" t="str">
        <x:v>Africa/Cairo</x:v>
      </x:c>
      <x:c r="H9" s="36" t="str">
        <x:v>ROLE-HSE-MGR</x:v>
      </x:c>
      <x:c r="I9" s="54" t="b">
        <x:v>1</x:v>
      </x:c>
      <x:c r="J9" s="39" t="n">
        <x:v>730</x:v>
      </x:c>
    </x:row>
    <x:row r="10" ht="24" customHeight="1">
      <x:c r="A10" s="36" t="str">
        <x:v>RPT-006</x:v>
      </x:c>
      <x:c r="B10" s="36" t="str">
        <x:v>ISO 45001 Audit Pack</x:v>
      </x:c>
      <x:c r="C10" s="36" t="str">
        <x:v>AUDIT_PACK</x:v>
      </x:c>
      <x:c r="D10" s="36" t="str">
        <x:v>ALL_HSE;AUDIT_LOG</x:v>
      </x:c>
      <x:c r="E10" s="36" t="str">
        <x:v>PDF;ZIP</x:v>
      </x:c>
      <x:c r="F10" s="36" t="str">
        <x:v>MANUAL</x:v>
      </x:c>
      <x:c r="G10" s="36" t="str">
        <x:v>Africa/Cairo</x:v>
      </x:c>
      <x:c r="H10" s="36" t="str">
        <x:v>ROLE-AUDITOR</x:v>
      </x:c>
      <x:c r="I10" s="54" t="b">
        <x:v>1</x:v>
      </x:c>
      <x:c r="J10" s="39" t="n">
        <x:v>2555</x:v>
      </x:c>
    </x:row>
    <x:row r="11" ht="24" customHeight="1">
      <x:c r="A11" s="41" t="str">
        <x:v>RPT-007</x:v>
      </x:c>
      <x:c r="B11" s="41" t="str">
        <x:v>AI and IoT Alert Digest</x:v>
      </x:c>
      <x:c r="C11" s="41" t="str">
        <x:v>AI_IOT_DIGEST</x:v>
      </x:c>
      <x:c r="D11" s="41" t="str">
        <x:v>AI_EVENTS;SENSOR_READINGS;WEARABLE_EVENTS</x:v>
      </x:c>
      <x:c r="E11" s="41" t="str">
        <x:v>PDF;XLSX</x:v>
      </x:c>
      <x:c r="F11" s="41" t="str">
        <x:v>0 7 * * *</x:v>
      </x:c>
      <x:c r="G11" s="41" t="str">
        <x:v>Africa/Cairo</x:v>
      </x:c>
      <x:c r="H11" s="41" t="str">
        <x:v>ROLE-HSE-MGR</x:v>
      </x:c>
      <x:c r="I11" s="55" t="b">
        <x:v>1</x:v>
      </x:c>
      <x:c r="J11" s="44" t="n">
        <x:v>730</x:v>
      </x:c>
    </x:row>
  </x:sheetData>
  <x:mergeCells>
    <x:mergeCell ref="A1:J1"/>
    <x:mergeCell ref="A2:J2"/>
  </x:mergeCells>
  <x:conditionalFormatting sqref="I5:I11">
    <x:cfRule type="containsText" dxfId="891" priority="1" operator="containsText" text="CRITICAL"/>
    <x:cfRule type="containsText" dxfId="892" priority="2" operator="containsText" text="EXPIRED"/>
    <x:cfRule type="containsText" dxfId="893" priority="3" operator="containsText" text="FAILED"/>
    <x:cfRule type="containsText" dxfId="894" priority="4" operator="containsText" text="OVERDUE"/>
    <x:cfRule type="containsText" dxfId="895" priority="5" operator="containsText" text="REJECTED"/>
    <x:cfRule type="containsText" dxfId="896" priority="6" operator="containsText" text="OUT_OF_SERVICE"/>
    <x:cfRule type="containsText" dxfId="897" priority="7" operator="containsText" text="BELOW_THRESHOLD"/>
    <x:cfRule type="containsText" dxfId="898" priority="8" operator="containsText" text="HIGH"/>
    <x:cfRule type="containsText" dxfId="899" priority="9" operator="containsText" text="WARNING"/>
    <x:cfRule type="containsText" dxfId="900" priority="10" operator="containsText" text="DUE_SOON"/>
    <x:cfRule type="containsText" dxfId="901" priority="11" operator="containsText" text="OPEN"/>
    <x:cfRule type="containsText" dxfId="902" priority="12" operator="containsText" text="PENDING"/>
    <x:cfRule type="containsText" dxfId="903" priority="13" operator="containsText" text="SUSPENDED"/>
    <x:cfRule type="containsText" dxfId="904" priority="14" operator="containsText" text="TESTING"/>
    <x:cfRule type="containsText" dxfId="905" priority="15" operator="containsText" text="PARTIAL_FAILURE"/>
    <x:cfRule type="containsText" dxfId="906" priority="16" operator="containsText" text="LOW_STOCK"/>
    <x:cfRule type="containsText" dxfId="907" priority="17" operator="containsText" text="ACTIVE"/>
    <x:cfRule type="containsText" dxfId="908" priority="18" operator="containsText" text="VALID"/>
    <x:cfRule type="containsText" dxfId="909" priority="19" operator="containsText" text="SUCCESS"/>
    <x:cfRule type="containsText" dxfId="910" priority="20" operator="containsText" text="COMPLETED"/>
    <x:cfRule type="containsText" dxfId="911" priority="21" operator="containsText" text="CLOSED"/>
    <x:cfRule type="containsText" dxfId="912" priority="22" operator="containsText" text="CONNECTED"/>
    <x:cfRule type="containsText" dxfId="913" priority="23" operator="containsText" text="NORMAL"/>
    <x:cfRule type="containsText" dxfId="914" priority="24" operator="containsText" text="VERIFIED"/>
    <x:cfRule type="containsText" dxfId="915" priority="25" operator="containsText" text="RESOLVED"/>
    <x:cfRule type="containsText" dxfId="916" priority="26" operator="containsText" text="PASS"/>
    <x:cfRule type="containsText" dxfId="917" priority="27" operator="containsText" text="OK"/>
    <x:cfRule type="containsText" dxfId="918" priority="28" operator="containsText" text="INFO"/>
    <x:cfRule type="containsText" dxfId="919" priority="29" operator="containsText" text="DRAFT"/>
    <x:cfRule type="containsText" dxfId="920" priority="30" operator="containsText" text="SCHEDULED"/>
    <x:cfRule type="containsText" dxfId="921" priority="31" operator="containsText" text="IN_PROGRESS"/>
    <x:cfRule type="containsText" dxfId="922" priority="32" operator="containsText" text="MODEL_REVIEW"/>
    <x:cfRule type="containsText" dxfId="923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37cc4d739b334e5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18" hidden="0" customWidth="1"/>
    <x:col min="10" max="10" width="13" hidden="0" customWidth="1"/>
    <x:col min="11" max="11" width="18" hidden="0" customWidth="1"/>
  </x:cols>
  <x:sheetData>
    <x:row r="1" ht="32" customHeight="1">
      <x:c r="A1" s="17" t="str">
        <x:v>ESCA HSE | Report_Runs</x:v>
      </x:c>
      <x:c r="B1" s="17" t="str">
        <x:v>ESCA HSE | Report_Runs</x:v>
      </x:c>
      <x:c r="C1" s="17" t="str">
        <x:v>ESCA HSE | Report_Runs</x:v>
      </x:c>
      <x:c r="D1" s="17" t="str">
        <x:v>ESCA HSE | Report_Runs</x:v>
      </x:c>
      <x:c r="E1" s="17" t="str">
        <x:v>ESCA HSE | Report_Runs</x:v>
      </x:c>
      <x:c r="F1" s="17" t="str">
        <x:v>ESCA HSE | Report_Runs</x:v>
      </x:c>
      <x:c r="G1" s="17" t="str">
        <x:v>ESCA HSE | Report_Runs</x:v>
      </x:c>
      <x:c r="H1" s="17" t="str">
        <x:v>ESCA HSE | Report_Runs</x:v>
      </x:c>
      <x:c r="I1" s="17" t="str">
        <x:v>ESCA HSE | Report_Runs</x:v>
      </x:c>
      <x:c r="J1" s="17" t="str">
        <x:v>ESCA HSE | Report_Runs</x:v>
      </x:c>
      <x:c r="K1" s="17" t="str">
        <x:v>ESCA HSE | Report_Runs</x:v>
      </x:c>
    </x:row>
    <x:row r="2" ht="28" customHeight="1">
      <x:c r="A2" s="21" t="str">
        <x:v>Synthetic report execution history | Owner: Member 2 | Synthetic sample data | Snapshot: 2026-08-13</x:v>
      </x:c>
      <x:c r="B2" s="21" t="str">
        <x:v>Synthetic report execution history | Owner: Member 2 | Synthetic sample data | Snapshot: 2026-08-13</x:v>
      </x:c>
      <x:c r="C2" s="21" t="str">
        <x:v>Synthetic report execution history | Owner: Member 2 | Synthetic sample data | Snapshot: 2026-08-13</x:v>
      </x:c>
      <x:c r="D2" s="21" t="str">
        <x:v>Synthetic report execution history | Owner: Member 2 | Synthetic sample data | Snapshot: 2026-08-13</x:v>
      </x:c>
      <x:c r="E2" s="21" t="str">
        <x:v>Synthetic report execution history | Owner: Member 2 | Synthetic sample data | Snapshot: 2026-08-13</x:v>
      </x:c>
      <x:c r="F2" s="21" t="str">
        <x:v>Synthetic report execution history | Owner: Member 2 | Synthetic sample data | Snapshot: 2026-08-13</x:v>
      </x:c>
      <x:c r="G2" s="21" t="str">
        <x:v>Synthetic report execution history | Owner: Member 2 | Synthetic sample data | Snapshot: 2026-08-13</x:v>
      </x:c>
      <x:c r="H2" s="21" t="str">
        <x:v>Synthetic report execution history | Owner: Member 2 | Synthetic sample data | Snapshot: 2026-08-13</x:v>
      </x:c>
      <x:c r="I2" s="21" t="str">
        <x:v>Synthetic report execution history | Owner: Member 2 | Synthetic sample data | Snapshot: 2026-08-13</x:v>
      </x:c>
      <x:c r="J2" s="21" t="str">
        <x:v>Synthetic report execution history | Owner: Member 2 | Synthetic sample data | Snapshot: 2026-08-13</x:v>
      </x:c>
      <x:c r="K2" s="21" t="str">
        <x:v>Synthetic report execution history | Owner: Member 2 | Synthetic sample data | Snapshot: 2026-08-13</x:v>
      </x:c>
    </x:row>
    <x:row r="4" ht="30" customHeight="1">
      <x:c r="A4" s="26" t="str">
        <x:v>report_run_id</x:v>
      </x:c>
      <x:c r="B4" s="26" t="str">
        <x:v>report_id</x:v>
      </x:c>
      <x:c r="C4" s="26" t="str">
        <x:v>requested_at</x:v>
      </x:c>
      <x:c r="D4" s="26" t="str">
        <x:v>requested_by</x:v>
      </x:c>
      <x:c r="E4" s="26" t="str">
        <x:v>period_from</x:v>
      </x:c>
      <x:c r="F4" s="26" t="str">
        <x:v>period_to</x:v>
      </x:c>
      <x:c r="G4" s="26" t="str">
        <x:v>status</x:v>
      </x:c>
      <x:c r="H4" s="26" t="str">
        <x:v>output_format</x:v>
      </x:c>
      <x:c r="I4" s="26" t="str">
        <x:v>output_ref</x:v>
      </x:c>
      <x:c r="J4" s="26" t="str">
        <x:v>row_count</x:v>
      </x:c>
      <x:c r="K4" s="26" t="str">
        <x:v>error_code</x:v>
      </x:c>
    </x:row>
    <x:row r="5" ht="24" customHeight="1">
      <x:c r="A5" s="31" t="str">
        <x:v>RRN-001</x:v>
      </x:c>
      <x:c r="B5" s="31" t="str">
        <x:v>RPT-001</x:v>
      </x:c>
      <x:c r="C5" s="32" t="n">
        <x:v>46247.166666666664</x:v>
      </x:c>
      <x:c r="D5" s="31" t="str">
        <x:v>USR-008</x:v>
      </x:c>
      <x:c r="E5" s="35" t="n">
        <x:v>46235</x:v>
      </x:c>
      <x:c r="F5" s="35" t="n">
        <x:v>46247</x:v>
      </x:c>
      <x:c r="G5" s="31" t="str">
        <x:v>COMPLETED</x:v>
      </x:c>
      <x:c r="H5" s="31" t="str">
        <x:v>PDF</x:v>
      </x:c>
      <x:c r="I5" s="31" t="str">
        <x:v>reports/synthetic/RRN-001.pdf</x:v>
      </x:c>
      <x:c r="J5" s="34" t="n">
        <x:v>40</x:v>
      </x:c>
      <x:c r="K5" s="31"/>
    </x:row>
    <x:row r="6" ht="24" customHeight="1">
      <x:c r="A6" s="36" t="str">
        <x:v>RRN-002</x:v>
      </x:c>
      <x:c r="B6" s="36" t="str">
        <x:v>RPT-002</x:v>
      </x:c>
      <x:c r="C6" s="37" t="n">
        <x:v>46246.166666666664</x:v>
      </x:c>
      <x:c r="D6" s="36" t="str">
        <x:v>SYSTEM</x:v>
      </x:c>
      <x:c r="E6" s="40" t="n">
        <x:v>46235</x:v>
      </x:c>
      <x:c r="F6" s="40" t="n">
        <x:v>46247</x:v>
      </x:c>
      <x:c r="G6" s="36" t="str">
        <x:v>COMPLETED</x:v>
      </x:c>
      <x:c r="H6" s="36" t="str">
        <x:v>PDF</x:v>
      </x:c>
      <x:c r="I6" s="36" t="str">
        <x:v>reports/synthetic/RRN-002.pdf</x:v>
      </x:c>
      <x:c r="J6" s="39" t="n">
        <x:v>57</x:v>
      </x:c>
      <x:c r="K6" s="36"/>
    </x:row>
    <x:row r="7" ht="24" customHeight="1">
      <x:c r="A7" s="36" t="str">
        <x:v>RRN-003</x:v>
      </x:c>
      <x:c r="B7" s="36" t="str">
        <x:v>RPT-003</x:v>
      </x:c>
      <x:c r="C7" s="37" t="n">
        <x:v>46245.166666666664</x:v>
      </x:c>
      <x:c r="D7" s="36" t="str">
        <x:v>USR-008</x:v>
      </x:c>
      <x:c r="E7" s="40" t="n">
        <x:v>46235</x:v>
      </x:c>
      <x:c r="F7" s="40" t="n">
        <x:v>46247</x:v>
      </x:c>
      <x:c r="G7" s="36" t="str">
        <x:v>COMPLETED</x:v>
      </x:c>
      <x:c r="H7" s="36" t="str">
        <x:v>PDF</x:v>
      </x:c>
      <x:c r="I7" s="36" t="str">
        <x:v>reports/synthetic/RRN-003.pdf</x:v>
      </x:c>
      <x:c r="J7" s="39" t="n">
        <x:v>74</x:v>
      </x:c>
      <x:c r="K7" s="36"/>
    </x:row>
    <x:row r="8" ht="24" customHeight="1">
      <x:c r="A8" s="36" t="str">
        <x:v>RRN-004</x:v>
      </x:c>
      <x:c r="B8" s="36" t="str">
        <x:v>RPT-004</x:v>
      </x:c>
      <x:c r="C8" s="37" t="n">
        <x:v>46244.166666666664</x:v>
      </x:c>
      <x:c r="D8" s="36" t="str">
        <x:v>SYSTEM</x:v>
      </x:c>
      <x:c r="E8" s="40" t="n">
        <x:v>46235</x:v>
      </x:c>
      <x:c r="F8" s="40" t="n">
        <x:v>46247</x:v>
      </x:c>
      <x:c r="G8" s="36" t="str">
        <x:v>COMPLETED</x:v>
      </x:c>
      <x:c r="H8" s="36" t="str">
        <x:v>XLSX</x:v>
      </x:c>
      <x:c r="I8" s="36" t="str">
        <x:v>reports/synthetic/RRN-004.xlsx</x:v>
      </x:c>
      <x:c r="J8" s="39" t="n">
        <x:v>91</x:v>
      </x:c>
      <x:c r="K8" s="36"/>
    </x:row>
    <x:row r="9" ht="24" customHeight="1">
      <x:c r="A9" s="36" t="str">
        <x:v>RRN-005</x:v>
      </x:c>
      <x:c r="B9" s="36" t="str">
        <x:v>RPT-005</x:v>
      </x:c>
      <x:c r="C9" s="37" t="n">
        <x:v>46243.166666666664</x:v>
      </x:c>
      <x:c r="D9" s="36" t="str">
        <x:v>USR-008</x:v>
      </x:c>
      <x:c r="E9" s="40" t="n">
        <x:v>46235</x:v>
      </x:c>
      <x:c r="F9" s="40" t="n">
        <x:v>46247</x:v>
      </x:c>
      <x:c r="G9" s="36" t="str">
        <x:v>COMPLETED</x:v>
      </x:c>
      <x:c r="H9" s="36" t="str">
        <x:v>PDF</x:v>
      </x:c>
      <x:c r="I9" s="36" t="str">
        <x:v>reports/synthetic/RRN-005.pdf</x:v>
      </x:c>
      <x:c r="J9" s="39" t="n">
        <x:v>108</x:v>
      </x:c>
      <x:c r="K9" s="36"/>
    </x:row>
    <x:row r="10" ht="24" customHeight="1">
      <x:c r="A10" s="36" t="str">
        <x:v>RRN-006</x:v>
      </x:c>
      <x:c r="B10" s="36" t="str">
        <x:v>RPT-006</x:v>
      </x:c>
      <x:c r="C10" s="37" t="n">
        <x:v>46242.166666666664</x:v>
      </x:c>
      <x:c r="D10" s="36" t="str">
        <x:v>SYSTEM</x:v>
      </x:c>
      <x:c r="E10" s="40" t="n">
        <x:v>46235</x:v>
      </x:c>
      <x:c r="F10" s="40" t="n">
        <x:v>46247</x:v>
      </x:c>
      <x:c r="G10" s="36" t="str">
        <x:v>FAILED</x:v>
      </x:c>
      <x:c r="H10" s="36" t="str">
        <x:v>PDF</x:v>
      </x:c>
      <x:c r="I10" s="36"/>
      <x:c r="J10" s="39" t="n">
        <x:v>0</x:v>
      </x:c>
      <x:c r="K10" s="36" t="str">
        <x:v>DEMO_EXPORT_TIMEOUT</x:v>
      </x:c>
    </x:row>
    <x:row r="11" ht="24" customHeight="1">
      <x:c r="A11" s="41" t="str">
        <x:v>RRN-007</x:v>
      </x:c>
      <x:c r="B11" s="41" t="str">
        <x:v>RPT-007</x:v>
      </x:c>
      <x:c r="C11" s="42" t="n">
        <x:v>46241.166666666664</x:v>
      </x:c>
      <x:c r="D11" s="41" t="str">
        <x:v>USR-008</x:v>
      </x:c>
      <x:c r="E11" s="45" t="n">
        <x:v>46235</x:v>
      </x:c>
      <x:c r="F11" s="45" t="n">
        <x:v>46247</x:v>
      </x:c>
      <x:c r="G11" s="41" t="str">
        <x:v>COMPLETED</x:v>
      </x:c>
      <x:c r="H11" s="41" t="str">
        <x:v>PDF</x:v>
      </x:c>
      <x:c r="I11" s="41" t="str">
        <x:v>reports/synthetic/RRN-007.pdf</x:v>
      </x:c>
      <x:c r="J11" s="44" t="n">
        <x:v>142</x:v>
      </x:c>
      <x:c r="K11" s="41"/>
    </x:row>
  </x:sheetData>
  <x:mergeCells>
    <x:mergeCell ref="A1:K1"/>
    <x:mergeCell ref="A2:K2"/>
  </x:mergeCells>
  <x:conditionalFormatting sqref="G5:G11">
    <x:cfRule type="containsText" dxfId="924" priority="1" operator="containsText" text="CRITICAL"/>
    <x:cfRule type="containsText" dxfId="925" priority="2" operator="containsText" text="EXPIRED"/>
    <x:cfRule type="containsText" dxfId="926" priority="3" operator="containsText" text="FAILED"/>
    <x:cfRule type="containsText" dxfId="927" priority="4" operator="containsText" text="OVERDUE"/>
    <x:cfRule type="containsText" dxfId="928" priority="5" operator="containsText" text="REJECTED"/>
    <x:cfRule type="containsText" dxfId="929" priority="6" operator="containsText" text="OUT_OF_SERVICE"/>
    <x:cfRule type="containsText" dxfId="930" priority="7" operator="containsText" text="BELOW_THRESHOLD"/>
    <x:cfRule type="containsText" dxfId="931" priority="8" operator="containsText" text="HIGH"/>
    <x:cfRule type="containsText" dxfId="932" priority="9" operator="containsText" text="WARNING"/>
    <x:cfRule type="containsText" dxfId="933" priority="10" operator="containsText" text="DUE_SOON"/>
    <x:cfRule type="containsText" dxfId="934" priority="11" operator="containsText" text="OPEN"/>
    <x:cfRule type="containsText" dxfId="935" priority="12" operator="containsText" text="PENDING"/>
    <x:cfRule type="containsText" dxfId="936" priority="13" operator="containsText" text="SUSPENDED"/>
    <x:cfRule type="containsText" dxfId="937" priority="14" operator="containsText" text="TESTING"/>
    <x:cfRule type="containsText" dxfId="938" priority="15" operator="containsText" text="PARTIAL_FAILURE"/>
    <x:cfRule type="containsText" dxfId="939" priority="16" operator="containsText" text="LOW_STOCK"/>
    <x:cfRule type="containsText" dxfId="940" priority="17" operator="containsText" text="ACTIVE"/>
    <x:cfRule type="containsText" dxfId="941" priority="18" operator="containsText" text="VALID"/>
    <x:cfRule type="containsText" dxfId="942" priority="19" operator="containsText" text="SUCCESS"/>
    <x:cfRule type="containsText" dxfId="943" priority="20" operator="containsText" text="COMPLETED"/>
    <x:cfRule type="containsText" dxfId="944" priority="21" operator="containsText" text="CLOSED"/>
    <x:cfRule type="containsText" dxfId="945" priority="22" operator="containsText" text="CONNECTED"/>
    <x:cfRule type="containsText" dxfId="946" priority="23" operator="containsText" text="NORMAL"/>
    <x:cfRule type="containsText" dxfId="947" priority="24" operator="containsText" text="VERIFIED"/>
    <x:cfRule type="containsText" dxfId="948" priority="25" operator="containsText" text="RESOLVED"/>
    <x:cfRule type="containsText" dxfId="949" priority="26" operator="containsText" text="PASS"/>
    <x:cfRule type="containsText" dxfId="950" priority="27" operator="containsText" text="OK"/>
    <x:cfRule type="containsText" dxfId="951" priority="28" operator="containsText" text="INFO"/>
    <x:cfRule type="containsText" dxfId="952" priority="29" operator="containsText" text="DRAFT"/>
    <x:cfRule type="containsText" dxfId="953" priority="30" operator="containsText" text="SCHEDULED"/>
    <x:cfRule type="containsText" dxfId="954" priority="31" operator="containsText" text="IN_PROGRESS"/>
    <x:cfRule type="containsText" dxfId="955" priority="32" operator="containsText" text="MODEL_REVIEW"/>
    <x:cfRule type="containsText" dxfId="956" priority="33" operator="containsText" text="READ"/>
  </x:conditionalFormatting>
  <x:dataValidations count="1">
    <x:dataValidation type="list" sqref="G5:G11">
      <x:formula1>"QUEUED,RUNNING,COMPLETED,FAILED,CANCELLED"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0f5d20e984325"/>
  </x:tableParts>
</x:worksheet>
</file>