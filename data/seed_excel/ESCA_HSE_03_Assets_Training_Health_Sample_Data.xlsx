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757a4e2f6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84672908404026"/>
    <x:sheet xmlns:r="http://schemas.openxmlformats.org/officeDocument/2006/relationships" name="Summary" sheetId="2" r:id="R5634ac16473c4889"/>
    <x:sheet xmlns:r="http://schemas.openxmlformats.org/officeDocument/2006/relationships" name="Training_Courses" sheetId="3" r:id="R3f458e5e960247f5"/>
    <x:sheet xmlns:r="http://schemas.openxmlformats.org/officeDocument/2006/relationships" name="Certificates" sheetId="4" r:id="Rc9ff66b79ec84c7e"/>
    <x:sheet xmlns:r="http://schemas.openxmlformats.org/officeDocument/2006/relationships" name="PPE_Inventory" sheetId="5" r:id="Rce84c0cfab964f43"/>
    <x:sheet xmlns:r="http://schemas.openxmlformats.org/officeDocument/2006/relationships" name="PPE_Matrix" sheetId="6" r:id="Ree55aaac69df4cee"/>
    <x:sheet xmlns:r="http://schemas.openxmlformats.org/officeDocument/2006/relationships" name="Fire_Equipment" sheetId="7" r:id="Rd10f01e395994845"/>
    <x:sheet xmlns:r="http://schemas.openxmlformats.org/officeDocument/2006/relationships" name="Fire_Inspections" sheetId="8" r:id="R722900f619024b1e"/>
    <x:sheet xmlns:r="http://schemas.openxmlformats.org/officeDocument/2006/relationships" name="Chemicals" sheetId="9" r:id="Ra63c7b8281224b9f"/>
    <x:sheet xmlns:r="http://schemas.openxmlformats.org/officeDocument/2006/relationships" name="SDS_Records" sheetId="10" r:id="R62f0264602e74a35"/>
    <x:sheet xmlns:r="http://schemas.openxmlformats.org/officeDocument/2006/relationships" name="Medical_Protocols" sheetId="11" r:id="R1070b0389866452d"/>
    <x:sheet xmlns:r="http://schemas.openxmlformats.org/officeDocument/2006/relationships" name="Employee_Exposures" sheetId="12" r:id="R33b93adccf7e4ee7"/>
    <x:sheet xmlns:r="http://schemas.openxmlformats.org/officeDocument/2006/relationships" name="Health_Exams" sheetId="13" r:id="R9e371f8b695246b0"/>
    <x:sheet xmlns:r="http://schemas.openxmlformats.org/officeDocument/2006/relationships" name="Clinic_Visits" sheetId="14" r:id="R9acc13ddfee74076"/>
    <x:sheet xmlns:r="http://schemas.openxmlformats.org/officeDocument/2006/relationships" name="Training_Requirements" sheetId="15" r:id="R48f39653aca54e26"/>
    <x:sheet xmlns:r="http://schemas.openxmlformats.org/officeDocument/2006/relationships" name="PPE_Transactions" sheetId="16" r:id="R75a24784075440c1"/>
    <x:sheet xmlns:r="http://schemas.openxmlformats.org/officeDocument/2006/relationships" name="Fixed_Safety_Assets" sheetId="17" r:id="R165696a642b6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yyyy-mm-dd hh:mm"/>
    <x:numFmt numFmtId="203" formatCode="0.0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0B1526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19"/>
      <x:color rgb="FFFFFFFF"/>
      <x:name val="Carlito"/>
    </x:font>
    <x:font>
      <x:b/>
      <x:sz val="11"/>
      <x:color rgb="FF1D2939"/>
      <x:name val="Carlito"/>
    </x:font>
    <x:font>
      <x:b/>
      <x:sz val="12"/>
      <x:color rgb="FF0B15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526"/>
      </x:patternFill>
    </x:fill>
    <x:fill>
      <x:patternFill patternType="solid">
        <x:fgColor rgb="FFF5F7FA"/>
      </x:patternFill>
    </x:fill>
    <x:fill>
      <x:patternFill patternType="solid">
        <x:fgColor rgb="FF1B2E4A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bottom style="medium">
        <x:color rgb="FF9E1B32"/>
      </x:bottom>
    </x:border>
    <x:border>
      <x:bottom style="thin">
        <x:color rgb="FFD6DEE8"/>
      </x:bottom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0" fillId="0" borderId="4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0" fillId="0" borderId="4" xfId="0" applyNumberFormat="1" applyFont="1" applyFill="1" applyBorder="1" applyAlignment="1">
      <x:alignment vertical="top"/>
    </x:xf>
    <x:xf numFmtId="203" fontId="0" fillId="0" borderId="5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200" fontId="10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200" fontId="10" fillId="7" borderId="0" xfId="0" applyNumberFormat="1" applyFont="1" applyFill="1" applyBorder="1"/>
  </x:cellXfs>
  <x:cellStyles count="1">
    <x:cellStyle name="Normal" xfId="0"/>
  </x:cellStyles>
  <x:dxfs count="75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e7d8c26af4424" /><Relationship Type="http://schemas.openxmlformats.org/officeDocument/2006/relationships/theme" Target="/xl/theme/theme1.xml" Id="R9dc1e63b52dc48e3" /><Relationship Type="http://schemas.microsoft.com/office/2022/11/relationships/FeaturePropertyBag" Target="/xl/featurePropertyBag/featurePropertyBag.xml" Id="R948301cc25514637" /><Relationship Type="http://schemas.openxmlformats.org/officeDocument/2006/relationships/sharedStrings" Target="/xl/sharedStrings.xml" Id="R59f2c356f5494531" /><Relationship Type="http://schemas.openxmlformats.org/officeDocument/2006/relationships/worksheet" Target="/xl/worksheets/sheet1.xml" Id="Rfa84672908404026" /><Relationship Type="http://schemas.openxmlformats.org/officeDocument/2006/relationships/worksheet" Target="/xl/worksheets/sheet2.xml" Id="R5634ac16473c4889" /><Relationship Type="http://schemas.openxmlformats.org/officeDocument/2006/relationships/worksheet" Target="/xl/worksheets/sheet3.xml" Id="R3f458e5e960247f5" /><Relationship Type="http://schemas.openxmlformats.org/officeDocument/2006/relationships/worksheet" Target="/xl/worksheets/sheet4.xml" Id="Rc9ff66b79ec84c7e" /><Relationship Type="http://schemas.openxmlformats.org/officeDocument/2006/relationships/worksheet" Target="/xl/worksheets/sheet5.xml" Id="Rce84c0cfab964f43" /><Relationship Type="http://schemas.openxmlformats.org/officeDocument/2006/relationships/worksheet" Target="/xl/worksheets/sheet6.xml" Id="Ree55aaac69df4cee" /><Relationship Type="http://schemas.openxmlformats.org/officeDocument/2006/relationships/worksheet" Target="/xl/worksheets/sheet7.xml" Id="Rd10f01e395994845" /><Relationship Type="http://schemas.openxmlformats.org/officeDocument/2006/relationships/worksheet" Target="/xl/worksheets/sheet8.xml" Id="R722900f619024b1e" /><Relationship Type="http://schemas.openxmlformats.org/officeDocument/2006/relationships/worksheet" Target="/xl/worksheets/sheet9.xml" Id="Ra63c7b8281224b9f" /><Relationship Type="http://schemas.openxmlformats.org/officeDocument/2006/relationships/worksheet" Target="/xl/worksheets/sheet10.xml" Id="R62f0264602e74a35" /><Relationship Type="http://schemas.openxmlformats.org/officeDocument/2006/relationships/worksheet" Target="/xl/worksheets/sheet11.xml" Id="R1070b0389866452d" /><Relationship Type="http://schemas.openxmlformats.org/officeDocument/2006/relationships/worksheet" Target="/xl/worksheets/sheet12.xml" Id="R33b93adccf7e4ee7" /><Relationship Type="http://schemas.openxmlformats.org/officeDocument/2006/relationships/worksheet" Target="/xl/worksheets/sheet13.xml" Id="R9e371f8b695246b0" /><Relationship Type="http://schemas.openxmlformats.org/officeDocument/2006/relationships/worksheet" Target="/xl/worksheets/sheet14.xml" Id="R9acc13ddfee74076" /><Relationship Type="http://schemas.openxmlformats.org/officeDocument/2006/relationships/worksheet" Target="/xl/worksheets/sheet15.xml" Id="R48f39653aca54e26" /><Relationship Type="http://schemas.openxmlformats.org/officeDocument/2006/relationships/worksheet" Target="/xl/worksheets/sheet16.xml" Id="R75a24784075440c1" /><Relationship Type="http://schemas.openxmlformats.org/officeDocument/2006/relationships/worksheet" Target="/xl/worksheets/sheet17.xml" Id="R165696a642b64dfb" /><Relationship Type="http://schemas.microsoft.com/office/2017/10/relationships/person" Target="/xl/persons/person.xml" Id="R98cfa6f179d040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ecd661030b4e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Certificate automation flags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'Summary'!$D$7:$D$12</c:f>
              <c:strCache>
                <c:ptCount val="0"/>
              </c:strCache>
            </c:strRef>
          </c:cat>
          <c:val>
            <c:numRef>
              <c:f>'Summary'!$E$7:$E$12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cd661030b4e6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F797CE0F-4411-4329-89C3-B7689292D447}"/>
</xltc:personList>
</file>

<file path=xl/tables/table1.xml><?xml version="1.0" encoding="utf-8"?>
<x:table xmlns:x="http://schemas.openxmlformats.org/spreadsheetml/2006/main" id="1" name="Tbl_Training_Courses" displayName="Tbl_Training_Courses" ref="A4:H14" headerRowCount="1" totalsRowCount="0" totalsRowShown="0">
  <x:autoFilter ref="A4:H14"/>
  <x:tableColumns count="8">
    <x:tableColumn id="1" name="course_id"/>
    <x:tableColumn id="2" name="name_ar"/>
    <x:tableColumn id="3" name="name_en"/>
    <x:tableColumn id="4" name="target_group"/>
    <x:tableColumn id="5" name="validity_months"/>
    <x:tableColumn id="6" name="mandatory_flag"/>
    <x:tableColumn id="7" name="provider"/>
    <x:tableColumn id="8" name="active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ertificates" displayName="Tbl_Certificates" ref="A4:J28" headerRowCount="1" totalsRowCount="0" totalsRowShown="0">
  <x:autoFilter ref="A4:J28"/>
  <x:tableColumns count="10">
    <x:tableColumn id="1" name="certificate_id"/>
    <x:tableColumn id="2" name="employee_id"/>
    <x:tableColumn id="3" name="course_id"/>
    <x:tableColumn id="4" name="issue_date"/>
    <x:tableColumn id="5" name="expiry_date"/>
    <x:tableColumn id="6" name="status"/>
    <x:tableColumn id="7" name="evidence_ref"/>
    <x:tableColumn id="8" name="manager_id"/>
    <x:tableColumn id="9" name="days_to_expiry"/>
    <x:tableColumn id="10" name="automation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PPE_Inventory" displayName="Tbl_PPE_Inventory" ref="A4:K16" headerRowCount="1" totalsRowCount="0" totalsRowShown="0">
  <x:autoFilter ref="A4:K16"/>
  <x:tableColumns count="11">
    <x:tableColumn id="1" name="ppe_item_id"/>
    <x:tableColumn id="2" name="item_code"/>
    <x:tableColumn id="3" name="name_ar"/>
    <x:tableColumn id="4" name="category"/>
    <x:tableColumn id="5" name="unit"/>
    <x:tableColumn id="6" name="balance_qty"/>
    <x:tableColumn id="7" name="reorder_threshold"/>
    <x:tableColumn id="8" name="monthly_consumption"/>
    <x:tableColumn id="9" name="supplier"/>
    <x:tableColumn id="10" name="storage_zone_id"/>
    <x:tableColumn id="11" name="stock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PPE_Matrix" displayName="Tbl_PPE_Matrix" ref="A4:E41" headerRowCount="1" totalsRowCount="0" totalsRowShown="0">
  <x:autoFilter ref="A4:E41"/>
  <x:tableColumns count="5">
    <x:tableColumn id="1" name="matrix_id"/>
    <x:tableColumn id="2" name="zone_id"/>
    <x:tableColumn id="3" name="ppe_item_id"/>
    <x:tableColumn id="4" name="required_flag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Fire_Equipment" displayName="Tbl_Fire_Equipment" ref="A4:N20" headerRowCount="1" totalsRowCount="0" totalsRowShown="0">
  <x:autoFilter ref="A4:N20"/>
  <x:tableColumns count="14">
    <x:tableColumn id="1" name="equipment_id"/>
    <x:tableColumn id="2" name="asset_type"/>
    <x:tableColumn id="3" name="subtype"/>
    <x:tableColumn id="4" name="department_id"/>
    <x:tableColumn id="5" name="zone_id"/>
    <x:tableColumn id="6" name="location_detail"/>
    <x:tableColumn id="7" name="capacity"/>
    <x:tableColumn id="8" name="installation_date"/>
    <x:tableColumn id="9" name="expiry_date"/>
    <x:tableColumn id="10" name="last_inspection_date"/>
    <x:tableColumn id="11" name="next_inspection_date"/>
    <x:tableColumn id="12" name="status"/>
    <x:tableColumn id="13" name="vendor"/>
    <x:tableColumn id="14" name="qr_c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Fire_Inspections" displayName="Tbl_Fire_Inspections" ref="A4:P20" headerRowCount="1" totalsRowCount="0" totalsRowShown="0">
  <x:autoFilter ref="A4:P20"/>
  <x:tableColumns count="16">
    <x:tableColumn id="1" name="fire_inspection_id"/>
    <x:tableColumn id="2" name="equipment_id"/>
    <x:tableColumn id="3" name="inspected_at"/>
    <x:tableColumn id="4" name="inspector_id"/>
    <x:tableColumn id="5" name="present_flag"/>
    <x:tableColumn id="6" name="access_clear"/>
    <x:tableColumn id="7" name="pressure_ok"/>
    <x:tableColumn id="8" name="hose_ok"/>
    <x:tableColumn id="9" name="safety_pin_ok"/>
    <x:tableColumn id="10" name="expiry_valid"/>
    <x:tableColumn id="11" name="body_ok"/>
    <x:tableColumn id="12" name="signage_ok"/>
    <x:tableColumn id="13" name="result"/>
    <x:tableColumn id="14" name="action_required"/>
    <x:tableColumn id="15" name="next_due_date"/>
    <x:tableColumn id="16" name="work_order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hemicals" displayName="Tbl_Chemicals" ref="A4:L16" headerRowCount="1" totalsRowCount="0" totalsRowShown="0">
  <x:autoFilter ref="A4:L16"/>
  <x:tableColumns count="12">
    <x:tableColumn id="1" name="chemical_id"/>
    <x:tableColumn id="2" name="trade_name"/>
    <x:tableColumn id="3" name="chemical_name"/>
    <x:tableColumn id="4" name="cas_number"/>
    <x:tableColumn id="5" name="supplier"/>
    <x:tableColumn id="6" name="quantity"/>
    <x:tableColumn id="7" name="unit"/>
    <x:tableColumn id="8" name="ghs_classes"/>
    <x:tableColumn id="9" name="storage_class"/>
    <x:tableColumn id="10" name="department_id"/>
    <x:tableColumn id="11" name="zone_id"/>
    <x:tableColumn id="12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SDS_Records" displayName="Tbl_SDS_Records" ref="A4:J16" headerRowCount="1" totalsRowCount="0" totalsRowShown="0">
  <x:autoFilter ref="A4:J16"/>
  <x:tableColumns count="10">
    <x:tableColumn id="1" name="sds_id"/>
    <x:tableColumn id="2" name="chemical_id"/>
    <x:tableColumn id="3" name="version_no"/>
    <x:tableColumn id="4" name="issue_date"/>
    <x:tableColumn id="5" name="expiry_date"/>
    <x:tableColumn id="6" name="language"/>
    <x:tableColumn id="7" name="file_ref"/>
    <x:tableColumn id="8" name="emergency_summary"/>
    <x:tableColumn id="9" name="status"/>
    <x:tableColumn id="10" name="days_to_expi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Medical_Protocols" displayName="Tbl_Medical_Protocols" ref="A4:F12" headerRowCount="1" totalsRowCount="0" totalsRowShown="0">
  <x:autoFilter ref="A4:F12"/>
  <x:tableColumns count="6">
    <x:tableColumn id="1" name="protocol_id"/>
    <x:tableColumn id="2" name="exposure_type"/>
    <x:tableColumn id="3" name="exam_type"/>
    <x:tableColumn id="4" name="frequency_months"/>
    <x:tableColumn id="5" name="target_group"/>
    <x:tableColumn id="6" name="active_fla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Employee_Exposures" displayName="Tbl_Employee_Exposures" ref="A4:J14" headerRowCount="1" totalsRowCount="0" totalsRowShown="0">
  <x:autoFilter ref="A4:J14"/>
  <x:tableColumns count="10">
    <x:tableColumn id="1" name="exposure_id"/>
    <x:tableColumn id="2" name="employee_id"/>
    <x:tableColumn id="3" name="protocol_id"/>
    <x:tableColumn id="4" name="zone_id"/>
    <x:tableColumn id="5" name="exposure_type"/>
    <x:tableColumn id="6" name="exposure_value"/>
    <x:tableColumn id="7" name="unit"/>
    <x:tableColumn id="8" name="assessment_date"/>
    <x:tableColumn id="9" name="control_status"/>
    <x:tableColumn id="10" name="active_fla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Health_Exams" displayName="Tbl_Health_Exams" ref="A4:L18" headerRowCount="1" totalsRowCount="0" totalsRowShown="0">
  <x:autoFilter ref="A4:L18"/>
  <x:tableColumns count="12">
    <x:tableColumn id="1" name="exam_id"/>
    <x:tableColumn id="2" name="employee_id"/>
    <x:tableColumn id="3" name="protocol_id"/>
    <x:tableColumn id="4" name="scheduled_date"/>
    <x:tableColumn id="5" name="completed_date"/>
    <x:tableColumn id="6" name="fitness_result"/>
    <x:tableColumn id="7" name="restriction_summary"/>
    <x:tableColumn id="8" name="next_due_date"/>
    <x:tableColumn id="9" name="status"/>
    <x:tableColumn id="10" name="clinician_alias"/>
    <x:tableColumn id="11" name="confidentiality_level"/>
    <x:tableColumn id="12" name="days_overdu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Clinic_Visits" displayName="Tbl_Clinic_Visits" ref="A4:L14" headerRowCount="1" totalsRowCount="0" totalsRowShown="0">
  <x:autoFilter ref="A4:L14"/>
  <x:tableColumns count="12">
    <x:tableColumn id="1" name="visit_id"/>
    <x:tableColumn id="2" name="employee_id"/>
    <x:tableColumn id="3" name="visit_at"/>
    <x:tableColumn id="4" name="visit_type"/>
    <x:tableColumn id="5" name="work_related_flag"/>
    <x:tableColumn id="6" name="incident_id"/>
    <x:tableColumn id="7" name="decision"/>
    <x:tableColumn id="8" name="rest_days"/>
    <x:tableColumn id="9" name="restriction_summary"/>
    <x:tableColumn id="10" name="status"/>
    <x:tableColumn id="11" name="clinician_alias"/>
    <x:tableColumn id="12" name="confidentiality_leve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Training_Requirements" displayName="Tbl_Training_Requirements" ref="A4:G14" headerRowCount="1" totalsRowCount="0" totalsRowShown="0">
  <x:autoFilter ref="A4:G14"/>
  <x:tableColumns count="7">
    <x:tableColumn id="1" name="requirement_id"/>
    <x:tableColumn id="2" name="target_group"/>
    <x:tableColumn id="3" name="course_id"/>
    <x:tableColumn id="4" name="mandatory_flag"/>
    <x:tableColumn id="5" name="scope_type"/>
    <x:tableColumn id="6" name="notes"/>
    <x:tableColumn id="7" name="active_fla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PPE_Transactions" displayName="Tbl_PPE_Transactions" ref="A4:J22" headerRowCount="1" totalsRowCount="0" totalsRowShown="0">
  <x:autoFilter ref="A4:J22"/>
  <x:tableColumns count="10">
    <x:tableColumn id="1" name="transaction_id"/>
    <x:tableColumn id="2" name="ppe_item_id"/>
    <x:tableColumn id="3" name="employee_id"/>
    <x:tableColumn id="4" name="transaction_type"/>
    <x:tableColumn id="5" name="quantity"/>
    <x:tableColumn id="6" name="transacted_at"/>
    <x:tableColumn id="7" name="processed_by"/>
    <x:tableColumn id="8" name="reason"/>
    <x:tableColumn id="9" name="permit_id"/>
    <x:tableColumn id="10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Fixed_Safety_Assets" displayName="Tbl_Fixed_Safety_Assets" ref="A4:I12" headerRowCount="1" totalsRowCount="0" totalsRowShown="0">
  <x:autoFilter ref="A4:I12"/>
  <x:tableColumns count="9">
    <x:tableColumn id="1" name="asset_summary_id"/>
    <x:tableColumn id="2" name="asset_type"/>
    <x:tableColumn id="3" name="asset_name"/>
    <x:tableColumn id="4" name="total_qty"/>
    <x:tableColumn id="5" name="operational_qty"/>
    <x:tableColumn id="6" name="last_test_date"/>
    <x:tableColumn id="7" name="next_test_date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eec2477a4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d7da2ab3aa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14e519d1ecc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0d40dd776547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85178bb3fa44d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5a2fd3d6d464f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9eb9ff5fb843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35785f729d24d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81ab7afdca641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7c3532152b40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0d68b998c9747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32a0b7996d0403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9dd110f01fc481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4592daa71d247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c3f01a3a36f34ce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e2f9a39ce534f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12" hidden="0" customWidth="1"/>
  </x:cols>
  <x:sheetData>
    <x:row r="1" ht="38" customHeight="1">
      <x:c r="A1" s="3" t="str">
        <x:v>ESCA HSE | Assets, Training &amp; Health Sample Data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Training, PPE, fire, HazMat, SDS and synthetic restricted health datasets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Convention</x:v>
      </x:c>
      <x:c r="B4" s="9" t="str">
        <x:v>Details</x:v>
      </x:c>
      <x:c r="C4" s="9"/>
      <x:c r="D4" s="9"/>
    </x:row>
    <x:row r="5" ht="32" customHeight="1">
      <x:c r="A5" s="12" t="str">
        <x:v>Dataset type</x:v>
      </x:c>
      <x:c r="B5" s="14" t="str">
        <x:v>100% synthetic training/development data; no real employee or medical data.</x:v>
      </x:c>
      <x:c r="C5" s="14"/>
      <x:c r="D5" s="14"/>
    </x:row>
    <x:row r="6" ht="32" customHeight="1">
      <x:c r="A6" s="12" t="str">
        <x:v>Reference snapshot</x:v>
      </x:c>
      <x:c r="B6" s="14" t="str">
        <x:v>2026-08-13, timezone Africa/Cairo.</x:v>
      </x:c>
      <x:c r="C6" s="14"/>
      <x:c r="D6" s="14"/>
    </x:row>
    <x:row r="7" ht="44" customHeight="1">
      <x:c r="A7" s="12" t="str">
        <x:v>Source references</x:v>
      </x:c>
      <x:c r="B7" s="14" t="str">
        <x:v>ESCA_HSE_Management_System.html (17-module mockup) and ESCA_HSE_Project_Plan.pdf.</x:v>
      </x:c>
      <x:c r="C7" s="14"/>
      <x:c r="D7" s="14"/>
    </x:row>
    <x:row r="8" ht="32" customHeight="1">
      <x:c r="A8" s="12" t="str">
        <x:v>Identifiers</x:v>
      </x:c>
      <x:c r="B8" s="14" t="str">
        <x:v>Cross-file IDs are intentionally consistent. Do not rename primary keys without updating foreign keys.</x:v>
      </x:c>
      <x:c r="C8" s="14"/>
      <x:c r="D8" s="14"/>
    </x:row>
    <x:row r="9" ht="32" customHeight="1">
      <x:c r="A9" s="12" t="str">
        <x:v>Dates</x:v>
      </x:c>
      <x:c r="B9" s="14" t="str">
        <x:v>Stored as real Excel dates/timestamps. Formula flags use the fixed as-of values in each Summary sheet.</x:v>
      </x:c>
      <x:c r="C9" s="14"/>
      <x:c r="D9" s="14"/>
    </x:row>
    <x:row r="10" ht="32" customHeight="1">
      <x:c r="A10" s="12" t="str">
        <x:v>Status fields</x:v>
      </x:c>
      <x:c r="B10" s="14" t="str">
        <x:v>Use approved values from the Master workbook Status_Values sheet; do not invent new states silently.</x:v>
      </x:c>
      <x:c r="C10" s="14"/>
      <x:c r="D10" s="14"/>
    </x:row>
    <x:row r="11" ht="44" customHeight="1">
      <x:c r="A11" s="12" t="str">
        <x:v>Health data</x:v>
      </x:c>
      <x:c r="B11" s="14" t="str">
        <x:v>Clinic and exam rows contain synthetic high-level fitness/restriction data only; no diagnoses or medications.</x:v>
      </x:c>
      <x:c r="C11" s="14"/>
      <x:c r="D11" s="14"/>
    </x:row>
    <x:row r="12" ht="44" customHeight="1">
      <x:c r="A12" s="12" t="str">
        <x:v>Usage</x:v>
      </x:c>
      <x:c r="B12" s="14" t="str">
        <x:v>Suitable for schema design, import testing, API development, UI wiring, automation tests and demo rehearsal.</x:v>
      </x:c>
      <x:c r="C12" s="14"/>
      <x:c r="D12" s="14"/>
    </x:row>
    <x:row r="13" ht="44" customHeight="1">
      <x:c r="A13" s="12" t="str">
        <x:v>Privacy note</x:v>
      </x:c>
      <x:c r="B13" s="14" t="str">
        <x:v>All occupational-health records are synthetic and intentionally limited to fitness/restriction data.</x:v>
      </x:c>
      <x:c r="C13" s="14"/>
      <x:c r="D13" s="14"/>
    </x:row>
    <x:row r="15">
      <x:c r="A15" s="9" t="str">
        <x:v>Sheet</x:v>
      </x:c>
      <x:c r="B15" s="9" t="str">
        <x:v>Owner</x:v>
      </x:c>
      <x:c r="C15" s="9" t="str">
        <x:v>Purpose</x:v>
      </x:c>
      <x:c r="D15" s="9" t="str">
        <x:v>Rows</x:v>
      </x:c>
    </x:row>
    <x:row r="16">
      <x:c r="A16" t="str">
        <x:v>Training_Courses</x:v>
      </x:c>
      <x:c r="B16" t="str">
        <x:v>Member 2</x:v>
      </x:c>
      <x:c r="C16" t="str">
        <x:v>Training course catalogue</x:v>
      </x:c>
      <x:c r="D16" t="n">
        <x:v>10</x:v>
      </x:c>
    </x:row>
    <x:row r="17">
      <x:c r="A17" t="str">
        <x:v>Certificates</x:v>
      </x:c>
      <x:c r="B17" t="str">
        <x:v>Member 2</x:v>
      </x:c>
      <x:c r="C17" t="str">
        <x:v>Employee training certificates</x:v>
      </x:c>
      <x:c r="D17" t="n">
        <x:v>24</x:v>
      </x:c>
    </x:row>
    <x:row r="18">
      <x:c r="A18" t="str">
        <x:v>PPE_Inventory</x:v>
      </x:c>
      <x:c r="B18" t="str">
        <x:v>Member 6</x:v>
      </x:c>
      <x:c r="C18" t="str">
        <x:v>PPE inventory and reorder status</x:v>
      </x:c>
      <x:c r="D18" t="n">
        <x:v>12</x:v>
      </x:c>
    </x:row>
    <x:row r="19">
      <x:c r="A19" t="str">
        <x:v>PPE_Matrix</x:v>
      </x:c>
      <x:c r="B19" t="str">
        <x:v>Member 6 / Member 2</x:v>
      </x:c>
      <x:c r="C19" t="str">
        <x:v>Mandatory PPE by zone</x:v>
      </x:c>
      <x:c r="D19" t="n">
        <x:v>37</x:v>
      </x:c>
    </x:row>
    <x:row r="20">
      <x:c r="A20" t="str">
        <x:v>Fire_Equipment</x:v>
      </x:c>
      <x:c r="B20" t="str">
        <x:v>Member 6</x:v>
      </x:c>
      <x:c r="C20" t="str">
        <x:v>Fire equipment registry</x:v>
      </x:c>
      <x:c r="D20" t="n">
        <x:v>16</x:v>
      </x:c>
    </x:row>
    <x:row r="21">
      <x:c r="A21" t="str">
        <x:v>Fire_Inspections</x:v>
      </x:c>
      <x:c r="B21" t="str">
        <x:v>Member 6</x:v>
      </x:c>
      <x:c r="C21" t="str">
        <x:v>Fire equipment inspection records</x:v>
      </x:c>
      <x:c r="D21" t="n">
        <x:v>16</x:v>
      </x:c>
    </x:row>
    <x:row r="22">
      <x:c r="A22" t="str">
        <x:v>Chemicals</x:v>
      </x:c>
      <x:c r="B22" t="str">
        <x:v>Member 2</x:v>
      </x:c>
      <x:c r="C22" t="str">
        <x:v>Hazardous material inventory</x:v>
      </x:c>
      <x:c r="D22" t="n">
        <x:v>12</x:v>
      </x:c>
    </x:row>
    <x:row r="23">
      <x:c r="A23" t="str">
        <x:v>SDS_Records</x:v>
      </x:c>
      <x:c r="B23" t="str">
        <x:v>Member 2</x:v>
      </x:c>
      <x:c r="C23" t="str">
        <x:v>Safety Data Sheet versions</x:v>
      </x:c>
      <x:c r="D23" t="n">
        <x:v>12</x:v>
      </x:c>
    </x:row>
    <x:row r="24">
      <x:c r="A24" t="str">
        <x:v>Medical_Protocols</x:v>
      </x:c>
      <x:c r="B24" t="str">
        <x:v>Member 2</x:v>
      </x:c>
      <x:c r="C24" t="str">
        <x:v>Occupational health protocols</x:v>
      </x:c>
      <x:c r="D24" t="n">
        <x:v>8</x:v>
      </x:c>
    </x:row>
    <x:row r="25">
      <x:c r="A25" t="str">
        <x:v>Employee_Exposures</x:v>
      </x:c>
      <x:c r="B25" t="str">
        <x:v>Member 2</x:v>
      </x:c>
      <x:c r="C25" t="str">
        <x:v>Synthetic exposure-to-medical-protocol assignments</x:v>
      </x:c>
      <x:c r="D25" t="n">
        <x:v>10</x:v>
      </x:c>
    </x:row>
    <x:row r="26">
      <x:c r="A26" t="str">
        <x:v>Health_Exams</x:v>
      </x:c>
      <x:c r="B26" t="str">
        <x:v>Member 2</x:v>
      </x:c>
      <x:c r="C26" t="str">
        <x:v>Synthetic fitness exam schedule/results</x:v>
      </x:c>
      <x:c r="D26" t="n">
        <x:v>14</x:v>
      </x:c>
    </x:row>
    <x:row r="27">
      <x:c r="A27" t="str">
        <x:v>Clinic_Visits</x:v>
      </x:c>
      <x:c r="B27" t="str">
        <x:v>Member 2</x:v>
      </x:c>
      <x:c r="C27" t="str">
        <x:v>Synthetic restricted clinic visits</x:v>
      </x:c>
      <x:c r="D27" t="n">
        <x:v>10</x:v>
      </x:c>
    </x:row>
    <x:row r="28">
      <x:c r="A28" t="str">
        <x:v>Training_Requirements</x:v>
      </x:c>
      <x:c r="B28" t="str">
        <x:v>Member 2</x:v>
      </x:c>
      <x:c r="C28" t="str">
        <x:v>Mandatory training by group and scope</x:v>
      </x:c>
      <x:c r="D28" t="n">
        <x:v>10</x:v>
      </x:c>
    </x:row>
    <x:row r="29">
      <x:c r="A29" t="str">
        <x:v>PPE_Transactions</x:v>
      </x:c>
      <x:c r="B29" t="str">
        <x:v>Member 6</x:v>
      </x:c>
      <x:c r="C29" t="str">
        <x:v>PPE issue and return movements</x:v>
      </x:c>
      <x:c r="D29" t="n">
        <x:v>18</x:v>
      </x:c>
    </x:row>
    <x:row r="30">
      <x:c r="A30" t="str">
        <x:v>Fixed_Safety_Assets</x:v>
      </x:c>
      <x:c r="B30" t="str">
        <x:v>Member 6</x:v>
      </x:c>
      <x:c r="C30" t="str">
        <x:v>Fixed emergency and safety asset readiness</x:v>
      </x:c>
      <x:c r="D30" t="n">
        <x:v>8</x:v>
      </x:c>
    </x:row>
  </x:sheetData>
  <x:mergeCells>
    <x:mergeCell ref="A1:H1"/>
    <x:mergeCell ref="A2:H2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22" hidden="0" customWidth="1"/>
    <x:col min="5" max="5" width="12" hidden="0" customWidth="1"/>
  </x:cols>
  <x:sheetData>
    <x:row r="1" ht="36" customHeight="1">
      <x:c r="A1" s="57" t="str">
        <x:v>ESCA HSE | Assets, Training &amp; Health Summary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 ht="26" customHeight="1">
      <x:c r="A2" s="5" t="str">
        <x:v>Synthetic operational assets, competency, HazMat and restricted health data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1" t="str">
        <x:v>As-of date</x:v>
      </x:c>
      <x:c r="B3" s="58" t="n">
        <x:v>46247</x:v>
      </x:c>
    </x:row>
    <x:row r="4">
      <x:c r="A4" s="11" t="str">
        <x:v>As-of timestamp</x:v>
      </x:c>
      <x:c r="B4" s="59" t="n">
        <x:v>46247.375</x:v>
      </x:c>
    </x:row>
    <x:row r="6">
      <x:c r="A6" s="9" t="str">
        <x:v>KPI</x:v>
      </x:c>
      <x:c r="B6" s="9" t="str">
        <x:v>Value</x:v>
      </x:c>
      <x:c r="D6" s="8" t="str">
        <x:v>Certificate flag</x:v>
      </x:c>
      <x:c r="E6" s="8" t="str">
        <x:v>Count</x:v>
      </x:c>
    </x:row>
    <x:row r="7">
      <x:c r="A7" s="61" t="str">
        <x:v>Certificates</x:v>
      </x:c>
      <x:c r="B7" s="63" t="n">
        <x:f>COUNTA('Certificates'!$A$5:$A$100)</x:f>
        <x:v>24</x:v>
      </x:c>
      <x:c r="D7" t="str">
        <x:v>EXPIRED</x:v>
      </x:c>
      <x:c r="E7" t="n">
        <x:f>COUNTIF('Certificates'!$J$5:$J$100,"EXPIRED")</x:f>
        <x:v>4</x:v>
      </x:c>
    </x:row>
    <x:row r="8">
      <x:c r="A8" s="65" t="str">
        <x:v>Certificates needing action</x:v>
      </x:c>
      <x:c r="B8" s="67" t="n">
        <x:f>COUNTA('Certificates'!$A$5:$A$100)-COUNTIF('Certificates'!$J$5:$J$100,"OK")-COUNTIF('Certificates'!$J$5:$J$100,"NO_ACTION")</x:f>
        <x:v>17</x:v>
      </x:c>
      <x:c r="D8" t="str">
        <x:v>EXPIRES_TODAY</x:v>
      </x:c>
      <x:c r="E8" t="n">
        <x:f>COUNTIF('Certificates'!$J$5:$J$100,"EXPIRES_TODAY")</x:f>
        <x:v>3</x:v>
      </x:c>
    </x:row>
    <x:row r="9">
      <x:c r="A9" s="61" t="str">
        <x:v>PPE below/low stock</x:v>
      </x:c>
      <x:c r="B9" s="63" t="n">
        <x:f>COUNTIF('PPE_Inventory'!$K$5:$K$100,"BELOW_THRESHOLD")+COUNTIF('PPE_Inventory'!$K$5:$K$100,"LOW_STOCK")</x:f>
        <x:v>5</x:v>
      </x:c>
      <x:c r="D9" t="str">
        <x:v>DUE_7_DAYS</x:v>
      </x:c>
      <x:c r="E9" t="n">
        <x:f>COUNTIF('Certificates'!$J$5:$J$100,"DUE_7_DAYS")</x:f>
        <x:v>4</x:v>
      </x:c>
    </x:row>
    <x:row r="10">
      <x:c r="A10" s="65" t="str">
        <x:v>Fire assets needing action</x:v>
      </x:c>
      <x:c r="B10" s="67" t="n">
        <x:f>COUNTA('Fire_Equipment'!$A$5:$A$100)-COUNTIF('Fire_Equipment'!$L$5:$L$100,"VALID")</x:f>
        <x:v>3</x:v>
      </x:c>
      <x:c r="D10" t="str">
        <x:v>DUE_14_DAYS</x:v>
      </x:c>
      <x:c r="E10" t="n">
        <x:f>COUNTIF('Certificates'!$J$5:$J$100,"DUE_14_DAYS")</x:f>
        <x:v>4</x:v>
      </x:c>
    </x:row>
    <x:row r="11">
      <x:c r="A11" s="61" t="str">
        <x:v>Active chemicals</x:v>
      </x:c>
      <x:c r="B11" s="63" t="n">
        <x:f>COUNTIF('Chemicals'!$L$5:$L$100,"ACTIVE")</x:f>
        <x:v>10</x:v>
      </x:c>
      <x:c r="D11" t="str">
        <x:v>DUE_30_DAYS</x:v>
      </x:c>
      <x:c r="E11" t="n">
        <x:f>COUNTIF('Certificates'!$J$5:$J$100,"DUE_30_DAYS")</x:f>
        <x:v>2</x:v>
      </x:c>
    </x:row>
    <x:row r="12">
      <x:c r="A12" s="65" t="str">
        <x:v>Overdue health exams</x:v>
      </x:c>
      <x:c r="B12" s="67" t="n">
        <x:f>COUNTIF('Health_Exams'!$I$5:$I$100,"OVERDUE")</x:f>
        <x:v>3</x:v>
      </x:c>
      <x:c r="D12" t="str">
        <x:v>OK</x:v>
      </x:c>
      <x:c r="E12" t="n">
        <x:f>COUNTIF('Certificates'!$J$5:$J$100,"OK")</x:f>
        <x:v>6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e8ceec2477a4498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</x:cols>
  <x:sheetData>
    <x:row r="1" ht="32" customHeight="1">
      <x:c r="A1" s="17" t="str">
        <x:v>ESCA HSE | Training_Courses</x:v>
      </x:c>
      <x:c r="B1" s="17" t="str">
        <x:v>ESCA HSE | Training_Courses</x:v>
      </x:c>
      <x:c r="C1" s="17" t="str">
        <x:v>ESCA HSE | Training_Courses</x:v>
      </x:c>
      <x:c r="D1" s="17" t="str">
        <x:v>ESCA HSE | Training_Courses</x:v>
      </x:c>
      <x:c r="E1" s="17" t="str">
        <x:v>ESCA HSE | Training_Courses</x:v>
      </x:c>
      <x:c r="F1" s="17" t="str">
        <x:v>ESCA HSE | Training_Courses</x:v>
      </x:c>
      <x:c r="G1" s="17" t="str">
        <x:v>ESCA HSE | Training_Courses</x:v>
      </x:c>
      <x:c r="H1" s="17" t="str">
        <x:v>ESCA HSE | Training_Courses</x:v>
      </x:c>
    </x:row>
    <x:row r="2" ht="28" customHeight="1">
      <x:c r="A2" s="21" t="str">
        <x:v>Training course catalogue | Owner: Member 2 | Synthetic sample data | Snapshot: 2026-08-13</x:v>
      </x:c>
      <x:c r="B2" s="21" t="str">
        <x:v>Training course catalogue | Owner: Member 2 | Synthetic sample data | Snapshot: 2026-08-13</x:v>
      </x:c>
      <x:c r="C2" s="21" t="str">
        <x:v>Training course catalogue | Owner: Member 2 | Synthetic sample data | Snapshot: 2026-08-13</x:v>
      </x:c>
      <x:c r="D2" s="21" t="str">
        <x:v>Training course catalogue | Owner: Member 2 | Synthetic sample data | Snapshot: 2026-08-13</x:v>
      </x:c>
      <x:c r="E2" s="21" t="str">
        <x:v>Training course catalogue | Owner: Member 2 | Synthetic sample data | Snapshot: 2026-08-13</x:v>
      </x:c>
      <x:c r="F2" s="21" t="str">
        <x:v>Training course catalogue | Owner: Member 2 | Synthetic sample data | Snapshot: 2026-08-13</x:v>
      </x:c>
      <x:c r="G2" s="21" t="str">
        <x:v>Training course catalogue | Owner: Member 2 | Synthetic sample data | Snapshot: 2026-08-13</x:v>
      </x:c>
      <x:c r="H2" s="21" t="str">
        <x:v>Training course catalogue | Owner: Member 2 | Synthetic sample data | Snapshot: 2026-08-13</x:v>
      </x:c>
    </x:row>
    <x:row r="4" ht="30" customHeight="1">
      <x:c r="A4" s="26" t="str">
        <x:v>course_id</x:v>
      </x:c>
      <x:c r="B4" s="26" t="str">
        <x:v>name_ar</x:v>
      </x:c>
      <x:c r="C4" s="26" t="str">
        <x:v>name_en</x:v>
      </x:c>
      <x:c r="D4" s="26" t="str">
        <x:v>target_group</x:v>
      </x:c>
      <x:c r="E4" s="26" t="str">
        <x:v>validity_months</x:v>
      </x:c>
      <x:c r="F4" s="26" t="str">
        <x:v>mandatory_flag</x:v>
      </x:c>
      <x:c r="G4" s="26" t="str">
        <x:v>provider</x:v>
      </x:c>
      <x:c r="H4" s="26" t="str">
        <x:v>active_flag</x:v>
      </x:c>
    </x:row>
    <x:row r="5" ht="24" customHeight="1">
      <x:c r="A5" s="32" t="str">
        <x:v>CRS-GEN</x:v>
      </x:c>
      <x:c r="B5" s="32" t="str">
        <x:v>التوعية العامة بالسلامة</x:v>
      </x:c>
      <x:c r="C5" s="32" t="str">
        <x:v>General Safety Awareness</x:v>
      </x:c>
      <x:c r="D5" s="32" t="str">
        <x:v>ALL_EMPLOYEES</x:v>
      </x:c>
      <x:c r="E5" s="33" t="n">
        <x:v>12</x:v>
      </x:c>
      <x:c r="F5" s="34" t="b">
        <x:v>1</x:v>
      </x:c>
      <x:c r="G5" s="32" t="str">
        <x:v>Internal HSE</x:v>
      </x:c>
      <x:c r="H5" s="34" t="b">
        <x:v>1</x:v>
      </x:c>
    </x:row>
    <x:row r="6" ht="24" customHeight="1">
      <x:c r="A6" s="35" t="str">
        <x:v>CRS-FIRE</x:v>
      </x:c>
      <x:c r="B6" s="35" t="str">
        <x:v>مكافحة الحريق والإخلاء</x:v>
      </x:c>
      <x:c r="C6" s="35" t="str">
        <x:v>Fire Safety &amp; Evacuation</x:v>
      </x:c>
      <x:c r="D6" s="35" t="str">
        <x:v>ALL_EMPLOYEES</x:v>
      </x:c>
      <x:c r="E6" s="36" t="n">
        <x:v>12</x:v>
      </x:c>
      <x:c r="F6" s="37" t="b">
        <x:v>1</x:v>
      </x:c>
      <x:c r="G6" s="35" t="str">
        <x:v>Approved Provider</x:v>
      </x:c>
      <x:c r="H6" s="37" t="b">
        <x:v>1</x:v>
      </x:c>
    </x:row>
    <x:row r="7" ht="24" customHeight="1">
      <x:c r="A7" s="35" t="str">
        <x:v>CRS-FA</x:v>
      </x:c>
      <x:c r="B7" s="35" t="str">
        <x:v>الإسعافات الأولية</x:v>
      </x:c>
      <x:c r="C7" s="35" t="str">
        <x:v>First Aid</x:v>
      </x:c>
      <x:c r="D7" s="35" t="str">
        <x:v>EMERGENCY_TEAM</x:v>
      </x:c>
      <x:c r="E7" s="36" t="n">
        <x:v>24</x:v>
      </x:c>
      <x:c r="F7" s="37" t="b">
        <x:v>1</x:v>
      </x:c>
      <x:c r="G7" s="35" t="str">
        <x:v>Approved Provider</x:v>
      </x:c>
      <x:c r="H7" s="37" t="b">
        <x:v>1</x:v>
      </x:c>
    </x:row>
    <x:row r="8" ht="24" customHeight="1">
      <x:c r="A8" s="35" t="str">
        <x:v>CRS-LOTO</x:v>
      </x:c>
      <x:c r="B8" s="35" t="str">
        <x:v>العزل والتأمين LOTO</x:v>
      </x:c>
      <x:c r="C8" s="35" t="str">
        <x:v>LOTO</x:v>
      </x:c>
      <x:c r="D8" s="35" t="str">
        <x:v>MAINTENANCE_UTILITIES</x:v>
      </x:c>
      <x:c r="E8" s="36" t="n">
        <x:v>24</x:v>
      </x:c>
      <x:c r="F8" s="37" t="b">
        <x:v>1</x:v>
      </x:c>
      <x:c r="G8" s="35" t="str">
        <x:v>Internal HSE</x:v>
      </x:c>
      <x:c r="H8" s="37" t="b">
        <x:v>1</x:v>
      </x:c>
    </x:row>
    <x:row r="9" ht="24" customHeight="1">
      <x:c r="A9" s="35" t="str">
        <x:v>CRS-WAH</x:v>
      </x:c>
      <x:c r="B9" s="35" t="str">
        <x:v>العمل بالمرتفعات</x:v>
      </x:c>
      <x:c r="C9" s="35" t="str">
        <x:v>Work at Height</x:v>
      </x:c>
      <x:c r="D9" s="35" t="str">
        <x:v>MAINTENANCE</x:v>
      </x:c>
      <x:c r="E9" s="36" t="n">
        <x:v>24</x:v>
      </x:c>
      <x:c r="F9" s="37" t="b">
        <x:v>1</x:v>
      </x:c>
      <x:c r="G9" s="35" t="str">
        <x:v>Approved Provider</x:v>
      </x:c>
      <x:c r="H9" s="37" t="b">
        <x:v>1</x:v>
      </x:c>
    </x:row>
    <x:row r="10" ht="24" customHeight="1">
      <x:c r="A10" s="35" t="str">
        <x:v>CRS-CS</x:v>
      </x:c>
      <x:c r="B10" s="35" t="str">
        <x:v>الأماكن المغلقة</x:v>
      </x:c>
      <x:c r="C10" s="35" t="str">
        <x:v>Confined Space Entry</x:v>
      </x:c>
      <x:c r="D10" s="35" t="str">
        <x:v>MAINTENANCE_UTILITIES</x:v>
      </x:c>
      <x:c r="E10" s="36" t="n">
        <x:v>12</x:v>
      </x:c>
      <x:c r="F10" s="37" t="b">
        <x:v>1</x:v>
      </x:c>
      <x:c r="G10" s="35" t="str">
        <x:v>Approved Provider</x:v>
      </x:c>
      <x:c r="H10" s="37" t="b">
        <x:v>1</x:v>
      </x:c>
    </x:row>
    <x:row r="11" ht="24" customHeight="1">
      <x:c r="A11" s="35" t="str">
        <x:v>CRS-FL</x:v>
      </x:c>
      <x:c r="B11" s="35" t="str">
        <x:v>قيادة الرافعات الشوكية</x:v>
      </x:c>
      <x:c r="C11" s="35" t="str">
        <x:v>Forklift Operation</x:v>
      </x:c>
      <x:c r="D11" s="35" t="str">
        <x:v>WAREHOUSE</x:v>
      </x:c>
      <x:c r="E11" s="36" t="n">
        <x:v>36</x:v>
      </x:c>
      <x:c r="F11" s="37" t="b">
        <x:v>1</x:v>
      </x:c>
      <x:c r="G11" s="35" t="str">
        <x:v>Licensed Provider</x:v>
      </x:c>
      <x:c r="H11" s="37" t="b">
        <x:v>1</x:v>
      </x:c>
    </x:row>
    <x:row r="12" ht="24" customHeight="1">
      <x:c r="A12" s="35" t="str">
        <x:v>CRS-MV</x:v>
      </x:c>
      <x:c r="B12" s="35" t="str">
        <x:v>السلامة الكهربائية MV</x:v>
      </x:c>
      <x:c r="C12" s="35" t="str">
        <x:v>MV Electrical Safety</x:v>
      </x:c>
      <x:c r="D12" s="35" t="str">
        <x:v>UTILITIES</x:v>
      </x:c>
      <x:c r="E12" s="36" t="n">
        <x:v>24</x:v>
      </x:c>
      <x:c r="F12" s="37" t="b">
        <x:v>1</x:v>
      </x:c>
      <x:c r="G12" s="35" t="str">
        <x:v>Licensed Provider</x:v>
      </x:c>
      <x:c r="H12" s="37" t="b">
        <x:v>1</x:v>
      </x:c>
    </x:row>
    <x:row r="13" ht="24" customHeight="1">
      <x:c r="A13" s="35" t="str">
        <x:v>CRS-CHEM</x:v>
      </x:c>
      <x:c r="B13" s="35" t="str">
        <x:v>التعامل مع المواد الكيميائية</x:v>
      </x:c>
      <x:c r="C13" s="35" t="str">
        <x:v>Chemical Handling</x:v>
      </x:c>
      <x:c r="D13" s="35" t="str">
        <x:v>QC_MAINTENANCE_WAREHOUSE</x:v>
      </x:c>
      <x:c r="E13" s="36" t="n">
        <x:v>24</x:v>
      </x:c>
      <x:c r="F13" s="37" t="b">
        <x:v>1</x:v>
      </x:c>
      <x:c r="G13" s="35" t="str">
        <x:v>Internal HSE</x:v>
      </x:c>
      <x:c r="H13" s="37" t="b">
        <x:v>1</x:v>
      </x:c>
    </x:row>
    <x:row r="14" ht="24" customHeight="1">
      <x:c r="A14" s="38" t="str">
        <x:v>CRS-RCA</x:v>
      </x:c>
      <x:c r="B14" s="38" t="str">
        <x:v>تحليل الحوادث RCA</x:v>
      </x:c>
      <x:c r="C14" s="38" t="str">
        <x:v>Incident Root Cause Analysis</x:v>
      </x:c>
      <x:c r="D14" s="38" t="str">
        <x:v>SUPERVISORS</x:v>
      </x:c>
      <x:c r="E14" s="39" t="n">
        <x:v>36</x:v>
      </x:c>
      <x:c r="F14" s="40" t="b">
        <x:v>0</x:v>
      </x:c>
      <x:c r="G14" s="38" t="str">
        <x:v>Internal HSE</x:v>
      </x:c>
      <x:c r="H14" s="40" t="b">
        <x:v>1</x:v>
      </x:c>
    </x:row>
  </x:sheetData>
  <x:mergeCells>
    <x:mergeCell ref="A1:H1"/>
    <x:mergeCell ref="A2:H2"/>
  </x:mergeCells>
  <x:conditionalFormatting sqref="F5:F14">
    <x:cfRule type="containsText" dxfId="0" priority="1" operator="containsText" text="CRITICAL"/>
    <x:cfRule type="containsText" dxfId="1" priority="2" operator="containsText" text="EXPIRED"/>
    <x:cfRule type="containsText" dxfId="2" priority="3" operator="containsText" text="FAILED"/>
    <x:cfRule type="containsText" dxfId="3" priority="4" operator="containsText" text="OVERDUE"/>
    <x:cfRule type="containsText" dxfId="4" priority="5" operator="containsText" text="REJECTED"/>
    <x:cfRule type="containsText" dxfId="5" priority="6" operator="containsText" text="OUT_OF_SERVICE"/>
    <x:cfRule type="containsText" dxfId="6" priority="7" operator="containsText" text="BELOW_THRESHOLD"/>
    <x:cfRule type="containsText" dxfId="7" priority="8" operator="containsText" text="HIGH"/>
    <x:cfRule type="containsText" dxfId="8" priority="9" operator="containsText" text="WARNING"/>
    <x:cfRule type="containsText" dxfId="9" priority="10" operator="containsText" text="DUE_SOON"/>
    <x:cfRule type="containsText" dxfId="10" priority="11" operator="containsText" text="OPEN"/>
    <x:cfRule type="containsText" dxfId="11" priority="12" operator="containsText" text="PENDING"/>
    <x:cfRule type="containsText" dxfId="12" priority="13" operator="containsText" text="SUSPENDED"/>
    <x:cfRule type="containsText" dxfId="13" priority="14" operator="containsText" text="TESTING"/>
    <x:cfRule type="containsText" dxfId="14" priority="15" operator="containsText" text="PARTIAL_FAILURE"/>
    <x:cfRule type="containsText" dxfId="15" priority="16" operator="containsText" text="LOW_STOCK"/>
    <x:cfRule type="containsText" dxfId="16" priority="17" operator="containsText" text="ACTIVE"/>
    <x:cfRule type="containsText" dxfId="17" priority="18" operator="containsText" text="VALID"/>
    <x:cfRule type="containsText" dxfId="18" priority="19" operator="containsText" text="SUCCESS"/>
    <x:cfRule type="containsText" dxfId="19" priority="20" operator="containsText" text="COMPLETED"/>
    <x:cfRule type="containsText" dxfId="20" priority="21" operator="containsText" text="CLOSED"/>
    <x:cfRule type="containsText" dxfId="21" priority="22" operator="containsText" text="CONNECTED"/>
    <x:cfRule type="containsText" dxfId="22" priority="23" operator="containsText" text="NORMAL"/>
    <x:cfRule type="containsText" dxfId="23" priority="24" operator="containsText" text="VERIFIED"/>
    <x:cfRule type="containsText" dxfId="24" priority="25" operator="containsText" text="RESOLVED"/>
    <x:cfRule type="containsText" dxfId="25" priority="26" operator="containsText" text="PASS"/>
    <x:cfRule type="containsText" dxfId="26" priority="27" operator="containsText" text="OK"/>
    <x:cfRule type="containsText" dxfId="27" priority="28" operator="containsText" text="INFO"/>
    <x:cfRule type="containsText" dxfId="28" priority="29" operator="containsText" text="DRAFT"/>
    <x:cfRule type="containsText" dxfId="29" priority="30" operator="containsText" text="SCHEDULED"/>
    <x:cfRule type="containsText" dxfId="30" priority="31" operator="containsText" text="IN_PROGRESS"/>
    <x:cfRule type="containsText" dxfId="31" priority="32" operator="containsText" text="MODEL_REVIEW"/>
    <x:cfRule type="containsText" dxfId="32" priority="33" operator="containsText" text="READ"/>
  </x:conditionalFormatting>
  <x:conditionalFormatting sqref="H5:H14">
    <x:cfRule type="containsText" dxfId="33" priority="34" operator="containsText" text="CRITICAL"/>
    <x:cfRule type="containsText" dxfId="34" priority="35" operator="containsText" text="EXPIRED"/>
    <x:cfRule type="containsText" dxfId="35" priority="36" operator="containsText" text="FAILED"/>
    <x:cfRule type="containsText" dxfId="36" priority="37" operator="containsText" text="OVERDUE"/>
    <x:cfRule type="containsText" dxfId="37" priority="38" operator="containsText" text="REJECTED"/>
    <x:cfRule type="containsText" dxfId="38" priority="39" operator="containsText" text="OUT_OF_SERVICE"/>
    <x:cfRule type="containsText" dxfId="39" priority="40" operator="containsText" text="BELOW_THRESHOLD"/>
    <x:cfRule type="containsText" dxfId="40" priority="41" operator="containsText" text="HIGH"/>
    <x:cfRule type="containsText" dxfId="41" priority="42" operator="containsText" text="WARNING"/>
    <x:cfRule type="containsText" dxfId="42" priority="43" operator="containsText" text="DUE_SOON"/>
    <x:cfRule type="containsText" dxfId="43" priority="44" operator="containsText" text="OPEN"/>
    <x:cfRule type="containsText" dxfId="44" priority="45" operator="containsText" text="PENDING"/>
    <x:cfRule type="containsText" dxfId="45" priority="46" operator="containsText" text="SUSPENDED"/>
    <x:cfRule type="containsText" dxfId="46" priority="47" operator="containsText" text="TESTING"/>
    <x:cfRule type="containsText" dxfId="47" priority="48" operator="containsText" text="PARTIAL_FAILURE"/>
    <x:cfRule type="containsText" dxfId="48" priority="49" operator="containsText" text="LOW_STOCK"/>
    <x:cfRule type="containsText" dxfId="49" priority="50" operator="containsText" text="ACTIVE"/>
    <x:cfRule type="containsText" dxfId="50" priority="51" operator="containsText" text="VALID"/>
    <x:cfRule type="containsText" dxfId="51" priority="52" operator="containsText" text="SUCCESS"/>
    <x:cfRule type="containsText" dxfId="52" priority="53" operator="containsText" text="COMPLETED"/>
    <x:cfRule type="containsText" dxfId="53" priority="54" operator="containsText" text="CLOSED"/>
    <x:cfRule type="containsText" dxfId="54" priority="55" operator="containsText" text="CONNECTED"/>
    <x:cfRule type="containsText" dxfId="55" priority="56" operator="containsText" text="NORMAL"/>
    <x:cfRule type="containsText" dxfId="56" priority="57" operator="containsText" text="VERIFIED"/>
    <x:cfRule type="containsText" dxfId="57" priority="58" operator="containsText" text="RESOLVED"/>
    <x:cfRule type="containsText" dxfId="58" priority="59" operator="containsText" text="PASS"/>
    <x:cfRule type="containsText" dxfId="59" priority="60" operator="containsText" text="OK"/>
    <x:cfRule type="containsText" dxfId="60" priority="61" operator="containsText" text="INFO"/>
    <x:cfRule type="containsText" dxfId="61" priority="62" operator="containsText" text="DRAFT"/>
    <x:cfRule type="containsText" dxfId="62" priority="63" operator="containsText" text="SCHEDULED"/>
    <x:cfRule type="containsText" dxfId="63" priority="64" operator="containsText" text="IN_PROGRESS"/>
    <x:cfRule type="containsText" dxfId="64" priority="65" operator="containsText" text="MODEL_REVIEW"/>
    <x:cfRule type="containsText" dxfId="65" priority="66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a4d7da2ab3aa42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</x:cols>
  <x:sheetData>
    <x:row r="1" ht="32" customHeight="1">
      <x:c r="A1" s="17" t="str">
        <x:v>ESCA HSE | Certificates</x:v>
      </x:c>
      <x:c r="B1" s="17" t="str">
        <x:v>ESCA HSE | Certificates</x:v>
      </x:c>
      <x:c r="C1" s="17" t="str">
        <x:v>ESCA HSE | Certificates</x:v>
      </x:c>
      <x:c r="D1" s="17" t="str">
        <x:v>ESCA HSE | Certificates</x:v>
      </x:c>
      <x:c r="E1" s="17" t="str">
        <x:v>ESCA HSE | Certificates</x:v>
      </x:c>
      <x:c r="F1" s="17" t="str">
        <x:v>ESCA HSE | Certificates</x:v>
      </x:c>
      <x:c r="G1" s="17" t="str">
        <x:v>ESCA HSE | Certificates</x:v>
      </x:c>
      <x:c r="H1" s="17" t="str">
        <x:v>ESCA HSE | Certificates</x:v>
      </x:c>
      <x:c r="I1" s="17" t="str">
        <x:v>ESCA HSE | Certificates</x:v>
      </x:c>
      <x:c r="J1" s="17" t="str">
        <x:v>ESCA HSE | Certificates</x:v>
      </x:c>
    </x:row>
    <x:row r="2" ht="28" customHeight="1">
      <x:c r="A2" s="21" t="str">
        <x:v>Employee training certificates | Owner: Member 2 | Synthetic sample data | Snapshot: 2026-08-13</x:v>
      </x:c>
      <x:c r="B2" s="21" t="str">
        <x:v>Employee training certificates | Owner: Member 2 | Synthetic sample data | Snapshot: 2026-08-13</x:v>
      </x:c>
      <x:c r="C2" s="21" t="str">
        <x:v>Employee training certificates | Owner: Member 2 | Synthetic sample data | Snapshot: 2026-08-13</x:v>
      </x:c>
      <x:c r="D2" s="21" t="str">
        <x:v>Employee training certificates | Owner: Member 2 | Synthetic sample data | Snapshot: 2026-08-13</x:v>
      </x:c>
      <x:c r="E2" s="21" t="str">
        <x:v>Employee training certificates | Owner: Member 2 | Synthetic sample data | Snapshot: 2026-08-13</x:v>
      </x:c>
      <x:c r="F2" s="21" t="str">
        <x:v>Employee training certificates | Owner: Member 2 | Synthetic sample data | Snapshot: 2026-08-13</x:v>
      </x:c>
      <x:c r="G2" s="21" t="str">
        <x:v>Employee training certificates | Owner: Member 2 | Synthetic sample data | Snapshot: 2026-08-13</x:v>
      </x:c>
      <x:c r="H2" s="21" t="str">
        <x:v>Employee training certificates | Owner: Member 2 | Synthetic sample data | Snapshot: 2026-08-13</x:v>
      </x:c>
      <x:c r="I2" s="21" t="str">
        <x:v>Employee training certificates | Owner: Member 2 | Synthetic sample data | Snapshot: 2026-08-13</x:v>
      </x:c>
      <x:c r="J2" s="21" t="str">
        <x:v>Employee training certificates | Owner: Member 2 | Synthetic sample data | Snapshot: 2026-08-13</x:v>
      </x:c>
    </x:row>
    <x:row r="4" ht="30" customHeight="1">
      <x:c r="A4" s="26" t="str">
        <x:v>certificate_id</x:v>
      </x:c>
      <x:c r="B4" s="26" t="str">
        <x:v>employee_id</x:v>
      </x:c>
      <x:c r="C4" s="26" t="str">
        <x:v>course_id</x:v>
      </x:c>
      <x:c r="D4" s="26" t="str">
        <x:v>issue_date</x:v>
      </x:c>
      <x:c r="E4" s="26" t="str">
        <x:v>expiry_date</x:v>
      </x:c>
      <x:c r="F4" s="26" t="str">
        <x:v>status</x:v>
      </x:c>
      <x:c r="G4" s="26" t="str">
        <x:v>evidence_ref</x:v>
      </x:c>
      <x:c r="H4" s="26" t="str">
        <x:v>manager_id</x:v>
      </x:c>
      <x:c r="I4" s="26" t="str">
        <x:v>days_to_expiry</x:v>
      </x:c>
      <x:c r="J4" s="26" t="str">
        <x:v>automation_flag</x:v>
      </x:c>
    </x:row>
    <x:row r="5" ht="24" customHeight="1">
      <x:c r="A5" s="32" t="str">
        <x:v>CERT-001</x:v>
      </x:c>
      <x:c r="B5" s="32" t="str">
        <x:v>EMP-021</x:v>
      </x:c>
      <x:c r="C5" s="32" t="str">
        <x:v>CRS-LOTO</x:v>
      </x:c>
      <x:c r="D5" s="42" t="n">
        <x:v>45524</x:v>
      </x:c>
      <x:c r="E5" s="42" t="n">
        <x:v>46254</x:v>
      </x:c>
      <x:c r="F5" s="32" t="str">
        <x:v>VALID</x:v>
      </x:c>
      <x:c r="G5" s="32" t="str">
        <x:v>training/cert-001.pdf</x:v>
      </x:c>
      <x:c r="H5" s="32" t="str">
        <x:v>EMP-015</x:v>
      </x:c>
      <x:c r="I5" s="32" t="n">
        <x:f>E5-'Summary'!$B$3</x:f>
        <x:v>7</x:v>
      </x:c>
      <x:c r="J5" s="32" t="str">
        <x:f>IF(OR(F5="SUSPENDED",F5="REVOKED"),"NO_ACTION",IF(I5&lt;0,"EXPIRED",IF(I5=0,"EXPIRES_TODAY",IF(I5&lt;=7,"DUE_7_DAYS",IF(I5&lt;=14,"DUE_14_DAYS",IF(I5&lt;=30,"DUE_30_DAYS","OK"))))))</x:f>
        <x:v>DUE_7_DAYS</x:v>
      </x:c>
    </x:row>
    <x:row r="6" ht="24" customHeight="1">
      <x:c r="A6" s="35" t="str">
        <x:v>CERT-002</x:v>
      </x:c>
      <x:c r="B6" s="35" t="str">
        <x:v>EMP-022</x:v>
      </x:c>
      <x:c r="C6" s="35" t="str">
        <x:v>CRS-MV</x:v>
      </x:c>
      <x:c r="D6" s="43" t="n">
        <x:v>45505</x:v>
      </x:c>
      <x:c r="E6" s="43" t="n">
        <x:v>46235</x:v>
      </x:c>
      <x:c r="F6" s="35" t="str">
        <x:v>EXPIRED</x:v>
      </x:c>
      <x:c r="G6" s="35" t="str">
        <x:v>training/cert-002.pdf</x:v>
      </x:c>
      <x:c r="H6" s="35" t="str">
        <x:v>EMP-015</x:v>
      </x:c>
      <x:c r="I6" s="35" t="n">
        <x:f>E6-'Summary'!$B$3</x:f>
        <x:v>-12</x:v>
      </x:c>
      <x:c r="J6" s="35" t="str">
        <x:f>IF(OR(F6="SUSPENDED",F6="REVOKED"),"NO_ACTION",IF(I6&lt;0,"EXPIRED",IF(I6=0,"EXPIRES_TODAY",IF(I6&lt;=7,"DUE_7_DAYS",IF(I6&lt;=14,"DUE_14_DAYS",IF(I6&lt;=30,"DUE_30_DAYS","OK"))))))</x:f>
        <x:v>EXPIRED</x:v>
      </x:c>
    </x:row>
    <x:row r="7" ht="24" customHeight="1">
      <x:c r="A7" s="35" t="str">
        <x:v>CERT-003</x:v>
      </x:c>
      <x:c r="B7" s="35" t="str">
        <x:v>EMP-023</x:v>
      </x:c>
      <x:c r="C7" s="35" t="str">
        <x:v>CRS-FL</x:v>
      </x:c>
      <x:c r="D7" s="43" t="n">
        <x:v>45151</x:v>
      </x:c>
      <x:c r="E7" s="43" t="n">
        <x:v>46247</x:v>
      </x:c>
      <x:c r="F7" s="35" t="str">
        <x:v>VALID</x:v>
      </x:c>
      <x:c r="G7" s="35" t="str">
        <x:v>training/cert-003.pdf</x:v>
      </x:c>
      <x:c r="H7" s="35" t="str">
        <x:v>EMP-016</x:v>
      </x:c>
      <x:c r="I7" s="35" t="n">
        <x:f>E7-'Summary'!$B$3</x:f>
        <x:v>0</x:v>
      </x:c>
      <x:c r="J7" s="35" t="str">
        <x:f>IF(OR(F7="SUSPENDED",F7="REVOKED"),"NO_ACTION",IF(I7&lt;0,"EXPIRED",IF(I7=0,"EXPIRES_TODAY",IF(I7&lt;=7,"DUE_7_DAYS",IF(I7&lt;=14,"DUE_14_DAYS",IF(I7&lt;=30,"DUE_30_DAYS","OK"))))))</x:f>
        <x:v>EXPIRES_TODAY</x:v>
      </x:c>
    </x:row>
    <x:row r="8" ht="24" customHeight="1">
      <x:c r="A8" s="35" t="str">
        <x:v>CERT-004</x:v>
      </x:c>
      <x:c r="B8" s="35" t="str">
        <x:v>EMP-027</x:v>
      </x:c>
      <x:c r="C8" s="35" t="str">
        <x:v>CRS-CS</x:v>
      </x:c>
      <x:c r="D8" s="43" t="n">
        <x:v>45889</x:v>
      </x:c>
      <x:c r="E8" s="43" t="n">
        <x:v>46254</x:v>
      </x:c>
      <x:c r="F8" s="35" t="str">
        <x:v>VALID</x:v>
      </x:c>
      <x:c r="G8" s="35" t="str">
        <x:v>training/cert-004.pdf</x:v>
      </x:c>
      <x:c r="H8" s="35" t="str">
        <x:v>EMP-006</x:v>
      </x:c>
      <x:c r="I8" s="35" t="n">
        <x:f>E8-'Summary'!$B$3</x:f>
        <x:v>7</x:v>
      </x:c>
      <x:c r="J8" s="35" t="str">
        <x:f>IF(OR(F8="SUSPENDED",F8="REVOKED"),"NO_ACTION",IF(I8&lt;0,"EXPIRED",IF(I8=0,"EXPIRES_TODAY",IF(I8&lt;=7,"DUE_7_DAYS",IF(I8&lt;=14,"DUE_14_DAYS",IF(I8&lt;=30,"DUE_30_DAYS","OK"))))))</x:f>
        <x:v>DUE_7_DAYS</x:v>
      </x:c>
    </x:row>
    <x:row r="9" ht="24" customHeight="1">
      <x:c r="A9" s="35" t="str">
        <x:v>CERT-005</x:v>
      </x:c>
      <x:c r="B9" s="35" t="str">
        <x:v>EMP-029</x:v>
      </x:c>
      <x:c r="C9" s="35" t="str">
        <x:v>CRS-WAH</x:v>
      </x:c>
      <x:c r="D9" s="43" t="n">
        <x:v>45531</x:v>
      </x:c>
      <x:c r="E9" s="43" t="n">
        <x:v>46261</x:v>
      </x:c>
      <x:c r="F9" s="35" t="str">
        <x:v>VALID</x:v>
      </x:c>
      <x:c r="G9" s="35" t="str">
        <x:v>training/cert-005.pdf</x:v>
      </x:c>
      <x:c r="H9" s="35" t="str">
        <x:v>EMP-015</x:v>
      </x:c>
      <x:c r="I9" s="35" t="n">
        <x:f>E9-'Summary'!$B$3</x:f>
        <x:v>14</x:v>
      </x:c>
      <x:c r="J9" s="35" t="str">
        <x:f>IF(OR(F9="SUSPENDED",F9="REVOKED"),"NO_ACTION",IF(I9&lt;0,"EXPIRED",IF(I9=0,"EXPIRES_TODAY",IF(I9&lt;=7,"DUE_7_DAYS",IF(I9&lt;=14,"DUE_14_DAYS",IF(I9&lt;=30,"DUE_30_DAYS","OK"))))))</x:f>
        <x:v>DUE_14_DAYS</x:v>
      </x:c>
    </x:row>
    <x:row r="10" ht="24" customHeight="1">
      <x:c r="A10" s="35" t="str">
        <x:v>CERT-006</x:v>
      </x:c>
      <x:c r="B10" s="35" t="str">
        <x:v>EMP-034</x:v>
      </x:c>
      <x:c r="C10" s="35" t="str">
        <x:v>CRS-CHEM</x:v>
      </x:c>
      <x:c r="D10" s="43" t="n">
        <x:v>45547</x:v>
      </x:c>
      <x:c r="E10" s="43" t="n">
        <x:v>46277</x:v>
      </x:c>
      <x:c r="F10" s="35" t="str">
        <x:v>VALID</x:v>
      </x:c>
      <x:c r="G10" s="35" t="str">
        <x:v>training/cert-006.pdf</x:v>
      </x:c>
      <x:c r="H10" s="35" t="str">
        <x:v>EMP-005</x:v>
      </x:c>
      <x:c r="I10" s="35" t="n">
        <x:f>E10-'Summary'!$B$3</x:f>
        <x:v>30</x:v>
      </x:c>
      <x:c r="J10" s="35" t="str">
        <x:f>IF(OR(F10="SUSPENDED",F10="REVOKED"),"NO_ACTION",IF(I10&lt;0,"EXPIRED",IF(I10=0,"EXPIRES_TODAY",IF(I10&lt;=7,"DUE_7_DAYS",IF(I10&lt;=14,"DUE_14_DAYS",IF(I10&lt;=30,"DUE_30_DAYS","OK"))))))</x:f>
        <x:v>DUE_30_DAYS</x:v>
      </x:c>
    </x:row>
    <x:row r="11" ht="24" customHeight="1">
      <x:c r="A11" s="35" t="str">
        <x:v>CERT-007</x:v>
      </x:c>
      <x:c r="B11" s="35" t="str">
        <x:v>EMP-017</x:v>
      </x:c>
      <x:c r="C11" s="35" t="str">
        <x:v>CRS-GEN</x:v>
      </x:c>
      <x:c r="D11" s="43" t="n">
        <x:v>45931</x:v>
      </x:c>
      <x:c r="E11" s="43" t="n">
        <x:v>46296</x:v>
      </x:c>
      <x:c r="F11" s="35" t="str">
        <x:v>VALID</x:v>
      </x:c>
      <x:c r="G11" s="35" t="str">
        <x:v>training/cert-007.pdf</x:v>
      </x:c>
      <x:c r="H11" s="35" t="str">
        <x:v>EMP-013</x:v>
      </x:c>
      <x:c r="I11" s="35" t="n">
        <x:f>E11-'Summary'!$B$3</x:f>
        <x:v>49</x:v>
      </x:c>
      <x:c r="J11" s="35" t="str">
        <x:f>IF(OR(F11="SUSPENDED",F11="REVOKED"),"NO_ACTION",IF(I11&lt;0,"EXPIRED",IF(I11=0,"EXPIRES_TODAY",IF(I11&lt;=7,"DUE_7_DAYS",IF(I11&lt;=14,"DUE_14_DAYS",IF(I11&lt;=30,"DUE_30_DAYS","OK"))))))</x:f>
        <x:v>OK</x:v>
      </x:c>
    </x:row>
    <x:row r="12" ht="24" customHeight="1">
      <x:c r="A12" s="35" t="str">
        <x:v>CERT-008</x:v>
      </x:c>
      <x:c r="B12" s="35" t="str">
        <x:v>EMP-018</x:v>
      </x:c>
      <x:c r="C12" s="35" t="str">
        <x:v>CRS-FIRE</x:v>
      </x:c>
      <x:c r="D12" s="43" t="n">
        <x:v>45858</x:v>
      </x:c>
      <x:c r="E12" s="43" t="n">
        <x:v>46223</x:v>
      </x:c>
      <x:c r="F12" s="35" t="str">
        <x:v>EXPIRED</x:v>
      </x:c>
      <x:c r="G12" s="35" t="str">
        <x:v>training/cert-008.pdf</x:v>
      </x:c>
      <x:c r="H12" s="35" t="str">
        <x:v>EMP-013</x:v>
      </x:c>
      <x:c r="I12" s="35" t="n">
        <x:f>E12-'Summary'!$B$3</x:f>
        <x:v>-24</x:v>
      </x:c>
      <x:c r="J12" s="35" t="str">
        <x:f>IF(OR(F12="SUSPENDED",F12="REVOKED"),"NO_ACTION",IF(I12&lt;0,"EXPIRED",IF(I12=0,"EXPIRES_TODAY",IF(I12&lt;=7,"DUE_7_DAYS",IF(I12&lt;=14,"DUE_14_DAYS",IF(I12&lt;=30,"DUE_30_DAYS","OK"))))))</x:f>
        <x:v>EXPIRED</x:v>
      </x:c>
    </x:row>
    <x:row r="13" ht="24" customHeight="1">
      <x:c r="A13" s="35" t="str">
        <x:v>CERT-009</x:v>
      </x:c>
      <x:c r="B13" s="35" t="str">
        <x:v>EMP-019</x:v>
      </x:c>
      <x:c r="C13" s="35" t="str">
        <x:v>CRS-GEN</x:v>
      </x:c>
      <x:c r="D13" s="43" t="n">
        <x:v>45896</x:v>
      </x:c>
      <x:c r="E13" s="43" t="n">
        <x:v>46261</x:v>
      </x:c>
      <x:c r="F13" s="35" t="str">
        <x:v>VALID</x:v>
      </x:c>
      <x:c r="G13" s="35" t="str">
        <x:v>training/cert-009.pdf</x:v>
      </x:c>
      <x:c r="H13" s="35" t="str">
        <x:v>EMP-014</x:v>
      </x:c>
      <x:c r="I13" s="35" t="n">
        <x:f>E13-'Summary'!$B$3</x:f>
        <x:v>14</x:v>
      </x:c>
      <x:c r="J13" s="35" t="str">
        <x:f>IF(OR(F13="SUSPENDED",F13="REVOKED"),"NO_ACTION",IF(I13&lt;0,"EXPIRED",IF(I13=0,"EXPIRES_TODAY",IF(I13&lt;=7,"DUE_7_DAYS",IF(I13&lt;=14,"DUE_14_DAYS",IF(I13&lt;=30,"DUE_30_DAYS","OK"))))))</x:f>
        <x:v>DUE_14_DAYS</x:v>
      </x:c>
    </x:row>
    <x:row r="14" ht="24" customHeight="1">
      <x:c r="A14" s="35" t="str">
        <x:v>CERT-010</x:v>
      </x:c>
      <x:c r="B14" s="35" t="str">
        <x:v>EMP-020</x:v>
      </x:c>
      <x:c r="C14" s="35" t="str">
        <x:v>CRS-FIRE</x:v>
      </x:c>
      <x:c r="D14" s="43" t="n">
        <x:v>45888</x:v>
      </x:c>
      <x:c r="E14" s="43" t="n">
        <x:v>46253</x:v>
      </x:c>
      <x:c r="F14" s="35" t="str">
        <x:v>VALID</x:v>
      </x:c>
      <x:c r="G14" s="35" t="str">
        <x:v>training/cert-010.pdf</x:v>
      </x:c>
      <x:c r="H14" s="35" t="str">
        <x:v>EMP-014</x:v>
      </x:c>
      <x:c r="I14" s="35" t="n">
        <x:f>E14-'Summary'!$B$3</x:f>
        <x:v>6</x:v>
      </x:c>
      <x:c r="J14" s="35" t="str">
        <x:f>IF(OR(F14="SUSPENDED",F14="REVOKED"),"NO_ACTION",IF(I14&lt;0,"EXPIRED",IF(I14=0,"EXPIRES_TODAY",IF(I14&lt;=7,"DUE_7_DAYS",IF(I14&lt;=14,"DUE_14_DAYS",IF(I14&lt;=30,"DUE_30_DAYS","OK"))))))</x:f>
        <x:v>DUE_7_DAYS</x:v>
      </x:c>
    </x:row>
    <x:row r="15" ht="24" customHeight="1">
      <x:c r="A15" s="35" t="str">
        <x:v>CERT-011</x:v>
      </x:c>
      <x:c r="B15" s="35" t="str">
        <x:v>EMP-021</x:v>
      </x:c>
      <x:c r="C15" s="35" t="str">
        <x:v>CRS-WAH</x:v>
      </x:c>
      <x:c r="D15" s="43" t="n">
        <x:v>45536</x:v>
      </x:c>
      <x:c r="E15" s="43" t="n">
        <x:v>46266</x:v>
      </x:c>
      <x:c r="F15" s="35" t="str">
        <x:v>VALID</x:v>
      </x:c>
      <x:c r="G15" s="35" t="str">
        <x:v>training/cert-011.pdf</x:v>
      </x:c>
      <x:c r="H15" s="35" t="str">
        <x:v>EMP-015</x:v>
      </x:c>
      <x:c r="I15" s="35" t="n">
        <x:f>E15-'Summary'!$B$3</x:f>
        <x:v>19</x:v>
      </x:c>
      <x:c r="J15" s="35" t="str">
        <x:f>IF(OR(F15="SUSPENDED",F15="REVOKED"),"NO_ACTION",IF(I15&lt;0,"EXPIRED",IF(I15=0,"EXPIRES_TODAY",IF(I15&lt;=7,"DUE_7_DAYS",IF(I15&lt;=14,"DUE_14_DAYS",IF(I15&lt;=30,"DUE_30_DAYS","OK"))))))</x:f>
        <x:v>DUE_30_DAYS</x:v>
      </x:c>
    </x:row>
    <x:row r="16" ht="24" customHeight="1">
      <x:c r="A16" s="35" t="str">
        <x:v>CERT-012</x:v>
      </x:c>
      <x:c r="B16" s="35" t="str">
        <x:v>EMP-022</x:v>
      </x:c>
      <x:c r="C16" s="35" t="str">
        <x:v>CRS-LOTO</x:v>
      </x:c>
      <x:c r="D16" s="43" t="n">
        <x:v>45516</x:v>
      </x:c>
      <x:c r="E16" s="43" t="n">
        <x:v>46246</x:v>
      </x:c>
      <x:c r="F16" s="35" t="str">
        <x:v>EXPIRED</x:v>
      </x:c>
      <x:c r="G16" s="35" t="str">
        <x:v>training/cert-012.pdf</x:v>
      </x:c>
      <x:c r="H16" s="35" t="str">
        <x:v>EMP-015</x:v>
      </x:c>
      <x:c r="I16" s="35" t="n">
        <x:f>E16-'Summary'!$B$3</x:f>
        <x:v>-1</x:v>
      </x:c>
      <x:c r="J16" s="35" t="str">
        <x:f>IF(OR(F16="SUSPENDED",F16="REVOKED"),"NO_ACTION",IF(I16&lt;0,"EXPIRED",IF(I16=0,"EXPIRES_TODAY",IF(I16&lt;=7,"DUE_7_DAYS",IF(I16&lt;=14,"DUE_14_DAYS",IF(I16&lt;=30,"DUE_30_DAYS","OK"))))))</x:f>
        <x:v>EXPIRED</x:v>
      </x:c>
    </x:row>
    <x:row r="17" ht="24" customHeight="1">
      <x:c r="A17" s="35" t="str">
        <x:v>CERT-013</x:v>
      </x:c>
      <x:c r="B17" s="35" t="str">
        <x:v>EMP-023</x:v>
      </x:c>
      <x:c r="C17" s="35" t="str">
        <x:v>CRS-GEN</x:v>
      </x:c>
      <x:c r="D17" s="43" t="n">
        <x:v>45992</x:v>
      </x:c>
      <x:c r="E17" s="43" t="n">
        <x:v>46357</x:v>
      </x:c>
      <x:c r="F17" s="35" t="str">
        <x:v>VALID</x:v>
      </x:c>
      <x:c r="G17" s="35" t="str">
        <x:v>training/cert-013.pdf</x:v>
      </x:c>
      <x:c r="H17" s="35" t="str">
        <x:v>EMP-016</x:v>
      </x:c>
      <x:c r="I17" s="35" t="n">
        <x:f>E17-'Summary'!$B$3</x:f>
        <x:v>110</x:v>
      </x:c>
      <x:c r="J17" s="35" t="str">
        <x:f>IF(OR(F17="SUSPENDED",F17="REVOKED"),"NO_ACTION",IF(I17&lt;0,"EXPIRED",IF(I17=0,"EXPIRES_TODAY",IF(I17&lt;=7,"DUE_7_DAYS",IF(I17&lt;=14,"DUE_14_DAYS",IF(I17&lt;=30,"DUE_30_DAYS","OK"))))))</x:f>
        <x:v>OK</x:v>
      </x:c>
    </x:row>
    <x:row r="18" ht="24" customHeight="1">
      <x:c r="A18" s="35" t="str">
        <x:v>CERT-014</x:v>
      </x:c>
      <x:c r="B18" s="35" t="str">
        <x:v>EMP-024</x:v>
      </x:c>
      <x:c r="C18" s="35" t="str">
        <x:v>CRS-CHEM</x:v>
      </x:c>
      <x:c r="D18" s="43" t="n">
        <x:v>45517</x:v>
      </x:c>
      <x:c r="E18" s="43" t="n">
        <x:v>46247</x:v>
      </x:c>
      <x:c r="F18" s="35" t="str">
        <x:v>VALID</x:v>
      </x:c>
      <x:c r="G18" s="35" t="str">
        <x:v>training/cert-014.pdf</x:v>
      </x:c>
      <x:c r="H18" s="35" t="str">
        <x:v>EMP-016</x:v>
      </x:c>
      <x:c r="I18" s="35" t="n">
        <x:f>E18-'Summary'!$B$3</x:f>
        <x:v>0</x:v>
      </x:c>
      <x:c r="J18" s="35" t="str">
        <x:f>IF(OR(F18="SUSPENDED",F18="REVOKED"),"NO_ACTION",IF(I18&lt;0,"EXPIRED",IF(I18=0,"EXPIRES_TODAY",IF(I18&lt;=7,"DUE_7_DAYS",IF(I18&lt;=14,"DUE_14_DAYS",IF(I18&lt;=30,"DUE_30_DAYS","OK"))))))</x:f>
        <x:v>EXPIRES_TODAY</x:v>
      </x:c>
    </x:row>
    <x:row r="19" ht="24" customHeight="1">
      <x:c r="A19" s="35" t="str">
        <x:v>CERT-015</x:v>
      </x:c>
      <x:c r="B19" s="35" t="str">
        <x:v>EMP-025</x:v>
      </x:c>
      <x:c r="C19" s="35" t="str">
        <x:v>CRS-CHEM</x:v>
      </x:c>
      <x:c r="D19" s="43" t="n">
        <x:v>45575</x:v>
      </x:c>
      <x:c r="E19" s="43" t="n">
        <x:v>46305</x:v>
      </x:c>
      <x:c r="F19" s="35" t="str">
        <x:v>VALID</x:v>
      </x:c>
      <x:c r="G19" s="35" t="str">
        <x:v>training/cert-015.pdf</x:v>
      </x:c>
      <x:c r="H19" s="35" t="str">
        <x:v>EMP-005</x:v>
      </x:c>
      <x:c r="I19" s="35" t="n">
        <x:f>E19-'Summary'!$B$3</x:f>
        <x:v>58</x:v>
      </x:c>
      <x:c r="J19" s="35" t="str">
        <x:f>IF(OR(F19="SUSPENDED",F19="REVOKED"),"NO_ACTION",IF(I19&lt;0,"EXPIRED",IF(I19=0,"EXPIRES_TODAY",IF(I19&lt;=7,"DUE_7_DAYS",IF(I19&lt;=14,"DUE_14_DAYS",IF(I19&lt;=30,"DUE_30_DAYS","OK"))))))</x:f>
        <x:v>OK</x:v>
      </x:c>
    </x:row>
    <x:row r="20" ht="24" customHeight="1">
      <x:c r="A20" s="35" t="str">
        <x:v>CERT-016</x:v>
      </x:c>
      <x:c r="B20" s="35" t="str">
        <x:v>EMP-026</x:v>
      </x:c>
      <x:c r="C20" s="35" t="str">
        <x:v>CRS-MV</x:v>
      </x:c>
      <x:c r="D20" s="43" t="n">
        <x:v>45522</x:v>
      </x:c>
      <x:c r="E20" s="43" t="n">
        <x:v>46252</x:v>
      </x:c>
      <x:c r="F20" s="35" t="str">
        <x:v>VALID</x:v>
      </x:c>
      <x:c r="G20" s="35" t="str">
        <x:v>training/cert-016.pdf</x:v>
      </x:c>
      <x:c r="H20" s="35" t="str">
        <x:v>EMP-006</x:v>
      </x:c>
      <x:c r="I20" s="35" t="n">
        <x:f>E20-'Summary'!$B$3</x:f>
        <x:v>5</x:v>
      </x:c>
      <x:c r="J20" s="35" t="str">
        <x:f>IF(OR(F20="SUSPENDED",F20="REVOKED"),"NO_ACTION",IF(I20&lt;0,"EXPIRED",IF(I20=0,"EXPIRES_TODAY",IF(I20&lt;=7,"DUE_7_DAYS",IF(I20&lt;=14,"DUE_14_DAYS",IF(I20&lt;=30,"DUE_30_DAYS","OK"))))))</x:f>
        <x:v>DUE_7_DAYS</x:v>
      </x:c>
    </x:row>
    <x:row r="21" ht="24" customHeight="1">
      <x:c r="A21" s="35" t="str">
        <x:v>CERT-017</x:v>
      </x:c>
      <x:c r="B21" s="35" t="str">
        <x:v>EMP-027</x:v>
      </x:c>
      <x:c r="C21" s="35" t="str">
        <x:v>CRS-FA</x:v>
      </x:c>
      <x:c r="D21" s="43" t="n">
        <x:v>45962</x:v>
      </x:c>
      <x:c r="E21" s="43" t="n">
        <x:v>46692</x:v>
      </x:c>
      <x:c r="F21" s="35" t="str">
        <x:v>VALID</x:v>
      </x:c>
      <x:c r="G21" s="35" t="str">
        <x:v>training/cert-017.pdf</x:v>
      </x:c>
      <x:c r="H21" s="35" t="str">
        <x:v>EMP-006</x:v>
      </x:c>
      <x:c r="I21" s="35" t="n">
        <x:f>E21-'Summary'!$B$3</x:f>
        <x:v>445</x:v>
      </x:c>
      <x:c r="J21" s="35" t="str">
        <x:f>IF(OR(F21="SUSPENDED",F21="REVOKED"),"NO_ACTION",IF(I21&lt;0,"EXPIRED",IF(I21=0,"EXPIRES_TODAY",IF(I21&lt;=7,"DUE_7_DAYS",IF(I21&lt;=14,"DUE_14_DAYS",IF(I21&lt;=30,"DUE_30_DAYS","OK"))))))</x:f>
        <x:v>OK</x:v>
      </x:c>
    </x:row>
    <x:row r="22" ht="24" customHeight="1">
      <x:c r="A22" s="35" t="str">
        <x:v>CERT-018</x:v>
      </x:c>
      <x:c r="B22" s="35" t="str">
        <x:v>EMP-013</x:v>
      </x:c>
      <x:c r="C22" s="35" t="str">
        <x:v>CRS-RCA</x:v>
      </x:c>
      <x:c r="D22" s="43" t="n">
        <x:v>45143</x:v>
      </x:c>
      <x:c r="E22" s="43" t="n">
        <x:v>46239</x:v>
      </x:c>
      <x:c r="F22" s="35" t="str">
        <x:v>EXPIRED</x:v>
      </x:c>
      <x:c r="G22" s="35" t="str">
        <x:v>training/cert-018.pdf</x:v>
      </x:c>
      <x:c r="H22" s="35" t="str">
        <x:v>EMP-001</x:v>
      </x:c>
      <x:c r="I22" s="35" t="n">
        <x:f>E22-'Summary'!$B$3</x:f>
        <x:v>-8</x:v>
      </x:c>
      <x:c r="J22" s="35" t="str">
        <x:f>IF(OR(F22="SUSPENDED",F22="REVOKED"),"NO_ACTION",IF(I22&lt;0,"EXPIRED",IF(I22=0,"EXPIRES_TODAY",IF(I22&lt;=7,"DUE_7_DAYS",IF(I22&lt;=14,"DUE_14_DAYS",IF(I22&lt;=30,"DUE_30_DAYS","OK"))))))</x:f>
        <x:v>EXPIRED</x:v>
      </x:c>
    </x:row>
    <x:row r="23" ht="24" customHeight="1">
      <x:c r="A23" s="35" t="str">
        <x:v>CERT-019</x:v>
      </x:c>
      <x:c r="B23" s="35" t="str">
        <x:v>EMP-014</x:v>
      </x:c>
      <x:c r="C23" s="35" t="str">
        <x:v>CRS-RCA</x:v>
      </x:c>
      <x:c r="D23" s="43" t="n">
        <x:v>45352</x:v>
      </x:c>
      <x:c r="E23" s="43" t="n">
        <x:v>46447</x:v>
      </x:c>
      <x:c r="F23" s="35" t="str">
        <x:v>VALID</x:v>
      </x:c>
      <x:c r="G23" s="35" t="str">
        <x:v>training/cert-019.pdf</x:v>
      </x:c>
      <x:c r="H23" s="35" t="str">
        <x:v>EMP-002</x:v>
      </x:c>
      <x:c r="I23" s="35" t="n">
        <x:f>E23-'Summary'!$B$3</x:f>
        <x:v>200</x:v>
      </x:c>
      <x:c r="J23" s="35" t="str">
        <x:f>IF(OR(F23="SUSPENDED",F23="REVOKED"),"NO_ACTION",IF(I23&lt;0,"EXPIRED",IF(I23=0,"EXPIRES_TODAY",IF(I23&lt;=7,"DUE_7_DAYS",IF(I23&lt;=14,"DUE_14_DAYS",IF(I23&lt;=30,"DUE_30_DAYS","OK"))))))</x:f>
        <x:v>OK</x:v>
      </x:c>
    </x:row>
    <x:row r="24" ht="24" customHeight="1">
      <x:c r="A24" s="35" t="str">
        <x:v>CERT-020</x:v>
      </x:c>
      <x:c r="B24" s="35" t="str">
        <x:v>EMP-015</x:v>
      </x:c>
      <x:c r="C24" s="35" t="str">
        <x:v>CRS-RCA</x:v>
      </x:c>
      <x:c r="D24" s="43" t="n">
        <x:v>45163</x:v>
      </x:c>
      <x:c r="E24" s="43" t="n">
        <x:v>46259</x:v>
      </x:c>
      <x:c r="F24" s="35" t="str">
        <x:v>VALID</x:v>
      </x:c>
      <x:c r="G24" s="35" t="str">
        <x:v>training/cert-020.pdf</x:v>
      </x:c>
      <x:c r="H24" s="35" t="str">
        <x:v>EMP-003</x:v>
      </x:c>
      <x:c r="I24" s="35" t="n">
        <x:f>E24-'Summary'!$B$3</x:f>
        <x:v>12</x:v>
      </x:c>
      <x:c r="J24" s="35" t="str">
        <x:f>IF(OR(F24="SUSPENDED",F24="REVOKED"),"NO_ACTION",IF(I24&lt;0,"EXPIRED",IF(I24=0,"EXPIRES_TODAY",IF(I24&lt;=7,"DUE_7_DAYS",IF(I24&lt;=14,"DUE_14_DAYS",IF(I24&lt;=30,"DUE_30_DAYS","OK"))))))</x:f>
        <x:v>DUE_14_DAYS</x:v>
      </x:c>
    </x:row>
    <x:row r="25" ht="24" customHeight="1">
      <x:c r="A25" s="35" t="str">
        <x:v>CERT-021</x:v>
      </x:c>
      <x:c r="B25" s="35" t="str">
        <x:v>EMP-016</x:v>
      </x:c>
      <x:c r="C25" s="35" t="str">
        <x:v>CRS-FL</x:v>
      </x:c>
      <x:c r="D25" s="43" t="n">
        <x:v>45306</x:v>
      </x:c>
      <x:c r="E25" s="43" t="n">
        <x:v>46402</x:v>
      </x:c>
      <x:c r="F25" s="35" t="str">
        <x:v>VALID</x:v>
      </x:c>
      <x:c r="G25" s="35" t="str">
        <x:v>training/cert-021.pdf</x:v>
      </x:c>
      <x:c r="H25" s="35" t="str">
        <x:v>EMP-004</x:v>
      </x:c>
      <x:c r="I25" s="35" t="n">
        <x:f>E25-'Summary'!$B$3</x:f>
        <x:v>155</x:v>
      </x:c>
      <x:c r="J25" s="35" t="str">
        <x:f>IF(OR(F25="SUSPENDED",F25="REVOKED"),"NO_ACTION",IF(I25&lt;0,"EXPIRED",IF(I25=0,"EXPIRES_TODAY",IF(I25&lt;=7,"DUE_7_DAYS",IF(I25&lt;=14,"DUE_14_DAYS",IF(I25&lt;=30,"DUE_30_DAYS","OK"))))))</x:f>
        <x:v>OK</x:v>
      </x:c>
    </x:row>
    <x:row r="26" ht="24" customHeight="1">
      <x:c r="A26" s="35" t="str">
        <x:v>CERT-022</x:v>
      </x:c>
      <x:c r="B26" s="35" t="str">
        <x:v>EMP-031</x:v>
      </x:c>
      <x:c r="C26" s="35" t="str">
        <x:v>CRS-GEN</x:v>
      </x:c>
      <x:c r="D26" s="43" t="n">
        <x:v>45882</x:v>
      </x:c>
      <x:c r="E26" s="43" t="n">
        <x:v>46247</x:v>
      </x:c>
      <x:c r="F26" s="35" t="str">
        <x:v>VALID</x:v>
      </x:c>
      <x:c r="G26" s="35" t="str">
        <x:v>training/cert-022.pdf</x:v>
      </x:c>
      <x:c r="H26" s="35" t="str">
        <x:v>EMP-013</x:v>
      </x:c>
      <x:c r="I26" s="35" t="n">
        <x:f>E26-'Summary'!$B$3</x:f>
        <x:v>0</x:v>
      </x:c>
      <x:c r="J26" s="35" t="str">
        <x:f>IF(OR(F26="SUSPENDED",F26="REVOKED"),"NO_ACTION",IF(I26&lt;0,"EXPIRED",IF(I26=0,"EXPIRES_TODAY",IF(I26&lt;=7,"DUE_7_DAYS",IF(I26&lt;=14,"DUE_14_DAYS",IF(I26&lt;=30,"DUE_30_DAYS","OK"))))))</x:f>
        <x:v>EXPIRES_TODAY</x:v>
      </x:c>
    </x:row>
    <x:row r="27" ht="24" customHeight="1">
      <x:c r="A27" s="35" t="str">
        <x:v>CERT-023</x:v>
      </x:c>
      <x:c r="B27" s="35" t="str">
        <x:v>EMP-032</x:v>
      </x:c>
      <x:c r="C27" s="35" t="str">
        <x:v>CRS-LOTO</x:v>
      </x:c>
      <x:c r="D27" s="43" t="n">
        <x:v>45531</x:v>
      </x:c>
      <x:c r="E27" s="43" t="n">
        <x:v>46261</x:v>
      </x:c>
      <x:c r="F27" s="35" t="str">
        <x:v>RENEWAL_BOOKED</x:v>
      </x:c>
      <x:c r="G27" s="35" t="str">
        <x:v>training/cert-023.pdf</x:v>
      </x:c>
      <x:c r="H27" s="35" t="str">
        <x:v>EMP-015</x:v>
      </x:c>
      <x:c r="I27" s="35" t="n">
        <x:f>E27-'Summary'!$B$3</x:f>
        <x:v>14</x:v>
      </x:c>
      <x:c r="J27" s="35" t="str">
        <x:f>IF(OR(F27="SUSPENDED",F27="REVOKED"),"NO_ACTION",IF(I27&lt;0,"EXPIRED",IF(I27=0,"EXPIRES_TODAY",IF(I27&lt;=7,"DUE_7_DAYS",IF(I27&lt;=14,"DUE_14_DAYS",IF(I27&lt;=30,"DUE_30_DAYS","OK"))))))</x:f>
        <x:v>DUE_14_DAYS</x:v>
      </x:c>
    </x:row>
    <x:row r="28" ht="24" customHeight="1">
      <x:c r="A28" s="38" t="str">
        <x:v>CERT-024</x:v>
      </x:c>
      <x:c r="B28" s="38" t="str">
        <x:v>EMP-033</x:v>
      </x:c>
      <x:c r="C28" s="38" t="str">
        <x:v>CRS-FL</x:v>
      </x:c>
      <x:c r="D28" s="44" t="n">
        <x:v>45078</x:v>
      </x:c>
      <x:c r="E28" s="44" t="n">
        <x:v>46174</x:v>
      </x:c>
      <x:c r="F28" s="38" t="str">
        <x:v>SUSPENDED</x:v>
      </x:c>
      <x:c r="G28" s="38" t="str">
        <x:v>training/cert-024.pdf</x:v>
      </x:c>
      <x:c r="H28" s="38" t="str">
        <x:v>EMP-016</x:v>
      </x:c>
      <x:c r="I28" s="38" t="n">
        <x:f>E28-'Summary'!$B$3</x:f>
        <x:v>-73</x:v>
      </x:c>
      <x:c r="J28" s="38" t="str">
        <x:f>IF(OR(F28="SUSPENDED",F28="REVOKED"),"NO_ACTION",IF(I28&lt;0,"EXPIRED",IF(I28=0,"EXPIRES_TODAY",IF(I28&lt;=7,"DUE_7_DAYS",IF(I28&lt;=14,"DUE_14_DAYS",IF(I28&lt;=30,"DUE_30_DAYS","OK"))))))</x:f>
        <x:v>NO_ACTION</x:v>
      </x:c>
    </x:row>
  </x:sheetData>
  <x:mergeCells>
    <x:mergeCell ref="A1:J1"/>
    <x:mergeCell ref="A2:J2"/>
  </x:mergeCells>
  <x:conditionalFormatting sqref="F5:F28">
    <x:cfRule type="containsText" dxfId="66" priority="1" operator="containsText" text="CRITICAL"/>
    <x:cfRule type="containsText" dxfId="67" priority="2" operator="containsText" text="EXPIRED"/>
    <x:cfRule type="containsText" dxfId="68" priority="3" operator="containsText" text="FAILED"/>
    <x:cfRule type="containsText" dxfId="69" priority="4" operator="containsText" text="OVERDUE"/>
    <x:cfRule type="containsText" dxfId="70" priority="5" operator="containsText" text="REJECTED"/>
    <x:cfRule type="containsText" dxfId="71" priority="6" operator="containsText" text="OUT_OF_SERVICE"/>
    <x:cfRule type="containsText" dxfId="72" priority="7" operator="containsText" text="BELOW_THRESHOLD"/>
    <x:cfRule type="containsText" dxfId="73" priority="8" operator="containsText" text="HIGH"/>
    <x:cfRule type="containsText" dxfId="74" priority="9" operator="containsText" text="WARNING"/>
    <x:cfRule type="containsText" dxfId="75" priority="10" operator="containsText" text="DUE_SOON"/>
    <x:cfRule type="containsText" dxfId="76" priority="11" operator="containsText" text="OPEN"/>
    <x:cfRule type="containsText" dxfId="77" priority="12" operator="containsText" text="PENDING"/>
    <x:cfRule type="containsText" dxfId="78" priority="13" operator="containsText" text="SUSPENDED"/>
    <x:cfRule type="containsText" dxfId="79" priority="14" operator="containsText" text="TESTING"/>
    <x:cfRule type="containsText" dxfId="80" priority="15" operator="containsText" text="PARTIAL_FAILURE"/>
    <x:cfRule type="containsText" dxfId="81" priority="16" operator="containsText" text="LOW_STOCK"/>
    <x:cfRule type="containsText" dxfId="82" priority="17" operator="containsText" text="ACTIVE"/>
    <x:cfRule type="containsText" dxfId="83" priority="18" operator="containsText" text="VALID"/>
    <x:cfRule type="containsText" dxfId="84" priority="19" operator="containsText" text="SUCCESS"/>
    <x:cfRule type="containsText" dxfId="85" priority="20" operator="containsText" text="COMPLETED"/>
    <x:cfRule type="containsText" dxfId="86" priority="21" operator="containsText" text="CLOSED"/>
    <x:cfRule type="containsText" dxfId="87" priority="22" operator="containsText" text="CONNECTED"/>
    <x:cfRule type="containsText" dxfId="88" priority="23" operator="containsText" text="NORMAL"/>
    <x:cfRule type="containsText" dxfId="89" priority="24" operator="containsText" text="VERIFIED"/>
    <x:cfRule type="containsText" dxfId="90" priority="25" operator="containsText" text="RESOLVED"/>
    <x:cfRule type="containsText" dxfId="91" priority="26" operator="containsText" text="PASS"/>
    <x:cfRule type="containsText" dxfId="92" priority="27" operator="containsText" text="OK"/>
    <x:cfRule type="containsText" dxfId="93" priority="28" operator="containsText" text="INFO"/>
    <x:cfRule type="containsText" dxfId="94" priority="29" operator="containsText" text="DRAFT"/>
    <x:cfRule type="containsText" dxfId="95" priority="30" operator="containsText" text="SCHEDULED"/>
    <x:cfRule type="containsText" dxfId="96" priority="31" operator="containsText" text="IN_PROGRESS"/>
    <x:cfRule type="containsText" dxfId="97" priority="32" operator="containsText" text="MODEL_REVIEW"/>
    <x:cfRule type="containsText" dxfId="98" priority="33" operator="containsText" text="READ"/>
  </x:conditionalFormatting>
  <x:conditionalFormatting sqref="J5:J28">
    <x:cfRule type="containsText" dxfId="99" priority="34" operator="containsText" text="CRITICAL"/>
    <x:cfRule type="containsText" dxfId="100" priority="35" operator="containsText" text="EXPIRED"/>
    <x:cfRule type="containsText" dxfId="101" priority="36" operator="containsText" text="FAILED"/>
    <x:cfRule type="containsText" dxfId="102" priority="37" operator="containsText" text="OVERDUE"/>
    <x:cfRule type="containsText" dxfId="103" priority="38" operator="containsText" text="REJECTED"/>
    <x:cfRule type="containsText" dxfId="104" priority="39" operator="containsText" text="OUT_OF_SERVICE"/>
    <x:cfRule type="containsText" dxfId="105" priority="40" operator="containsText" text="BELOW_THRESHOLD"/>
    <x:cfRule type="containsText" dxfId="106" priority="41" operator="containsText" text="HIGH"/>
    <x:cfRule type="containsText" dxfId="107" priority="42" operator="containsText" text="WARNING"/>
    <x:cfRule type="containsText" dxfId="108" priority="43" operator="containsText" text="DUE_SOON"/>
    <x:cfRule type="containsText" dxfId="109" priority="44" operator="containsText" text="OPEN"/>
    <x:cfRule type="containsText" dxfId="110" priority="45" operator="containsText" text="PENDING"/>
    <x:cfRule type="containsText" dxfId="111" priority="46" operator="containsText" text="SUSPENDED"/>
    <x:cfRule type="containsText" dxfId="112" priority="47" operator="containsText" text="TESTING"/>
    <x:cfRule type="containsText" dxfId="113" priority="48" operator="containsText" text="PARTIAL_FAILURE"/>
    <x:cfRule type="containsText" dxfId="114" priority="49" operator="containsText" text="LOW_STOCK"/>
    <x:cfRule type="containsText" dxfId="115" priority="50" operator="containsText" text="ACTIVE"/>
    <x:cfRule type="containsText" dxfId="116" priority="51" operator="containsText" text="VALID"/>
    <x:cfRule type="containsText" dxfId="117" priority="52" operator="containsText" text="SUCCESS"/>
    <x:cfRule type="containsText" dxfId="118" priority="53" operator="containsText" text="COMPLETED"/>
    <x:cfRule type="containsText" dxfId="119" priority="54" operator="containsText" text="CLOSED"/>
    <x:cfRule type="containsText" dxfId="120" priority="55" operator="containsText" text="CONNECTED"/>
    <x:cfRule type="containsText" dxfId="121" priority="56" operator="containsText" text="NORMAL"/>
    <x:cfRule type="containsText" dxfId="122" priority="57" operator="containsText" text="VERIFIED"/>
    <x:cfRule type="containsText" dxfId="123" priority="58" operator="containsText" text="RESOLVED"/>
    <x:cfRule type="containsText" dxfId="124" priority="59" operator="containsText" text="PASS"/>
    <x:cfRule type="containsText" dxfId="125" priority="60" operator="containsText" text="OK"/>
    <x:cfRule type="containsText" dxfId="126" priority="61" operator="containsText" text="INFO"/>
    <x:cfRule type="containsText" dxfId="127" priority="62" operator="containsText" text="DRAFT"/>
    <x:cfRule type="containsText" dxfId="128" priority="63" operator="containsText" text="SCHEDULED"/>
    <x:cfRule type="containsText" dxfId="129" priority="64" operator="containsText" text="IN_PROGRESS"/>
    <x:cfRule type="containsText" dxfId="130" priority="65" operator="containsText" text="MODEL_REVIEW"/>
    <x:cfRule type="containsText" dxfId="131" priority="66" operator="containsText" text="READ"/>
  </x:conditionalFormatting>
  <x:dataValidations count="1">
    <x:dataValidation type="list" sqref="F5:F28">
      <x:formula1>"VALID,EXPIRED,RENEWAL_BOOKED,SUSPENDED,REVOKED"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e519d1ecc41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 ht="32" customHeight="1">
      <x:c r="A1" s="17" t="str">
        <x:v>ESCA HSE | PPE_Inventory</x:v>
      </x:c>
      <x:c r="B1" s="17" t="str">
        <x:v>ESCA HSE | PPE_Inventory</x:v>
      </x:c>
      <x:c r="C1" s="17" t="str">
        <x:v>ESCA HSE | PPE_Inventory</x:v>
      </x:c>
      <x:c r="D1" s="17" t="str">
        <x:v>ESCA HSE | PPE_Inventory</x:v>
      </x:c>
      <x:c r="E1" s="17" t="str">
        <x:v>ESCA HSE | PPE_Inventory</x:v>
      </x:c>
      <x:c r="F1" s="17" t="str">
        <x:v>ESCA HSE | PPE_Inventory</x:v>
      </x:c>
      <x:c r="G1" s="17" t="str">
        <x:v>ESCA HSE | PPE_Inventory</x:v>
      </x:c>
      <x:c r="H1" s="17" t="str">
        <x:v>ESCA HSE | PPE_Inventory</x:v>
      </x:c>
      <x:c r="I1" s="17" t="str">
        <x:v>ESCA HSE | PPE_Inventory</x:v>
      </x:c>
      <x:c r="J1" s="17" t="str">
        <x:v>ESCA HSE | PPE_Inventory</x:v>
      </x:c>
      <x:c r="K1" s="17" t="str">
        <x:v>ESCA HSE | PPE_Inventory</x:v>
      </x:c>
    </x:row>
    <x:row r="2" ht="28" customHeight="1">
      <x:c r="A2" s="21" t="str">
        <x:v>PPE inventory and reorder status | Owner: Member 6 | Synthetic sample data | Snapshot: 2026-08-13</x:v>
      </x:c>
      <x:c r="B2" s="21" t="str">
        <x:v>PPE inventory and reorder status | Owner: Member 6 | Synthetic sample data | Snapshot: 2026-08-13</x:v>
      </x:c>
      <x:c r="C2" s="21" t="str">
        <x:v>PPE inventory and reorder status | Owner: Member 6 | Synthetic sample data | Snapshot: 2026-08-13</x:v>
      </x:c>
      <x:c r="D2" s="21" t="str">
        <x:v>PPE inventory and reorder status | Owner: Member 6 | Synthetic sample data | Snapshot: 2026-08-13</x:v>
      </x:c>
      <x:c r="E2" s="21" t="str">
        <x:v>PPE inventory and reorder status | Owner: Member 6 | Synthetic sample data | Snapshot: 2026-08-13</x:v>
      </x:c>
      <x:c r="F2" s="21" t="str">
        <x:v>PPE inventory and reorder status | Owner: Member 6 | Synthetic sample data | Snapshot: 2026-08-13</x:v>
      </x:c>
      <x:c r="G2" s="21" t="str">
        <x:v>PPE inventory and reorder status | Owner: Member 6 | Synthetic sample data | Snapshot: 2026-08-13</x:v>
      </x:c>
      <x:c r="H2" s="21" t="str">
        <x:v>PPE inventory and reorder status | Owner: Member 6 | Synthetic sample data | Snapshot: 2026-08-13</x:v>
      </x:c>
      <x:c r="I2" s="21" t="str">
        <x:v>PPE inventory and reorder status | Owner: Member 6 | Synthetic sample data | Snapshot: 2026-08-13</x:v>
      </x:c>
      <x:c r="J2" s="21" t="str">
        <x:v>PPE inventory and reorder status | Owner: Member 6 | Synthetic sample data | Snapshot: 2026-08-13</x:v>
      </x:c>
      <x:c r="K2" s="21" t="str">
        <x:v>PPE inventory and reorder status | Owner: Member 6 | Synthetic sample data | Snapshot: 2026-08-13</x:v>
      </x:c>
    </x:row>
    <x:row r="4" ht="30" customHeight="1">
      <x:c r="A4" s="26" t="str">
        <x:v>ppe_item_id</x:v>
      </x:c>
      <x:c r="B4" s="26" t="str">
        <x:v>item_code</x:v>
      </x:c>
      <x:c r="C4" s="26" t="str">
        <x:v>name_ar</x:v>
      </x:c>
      <x:c r="D4" s="26" t="str">
        <x:v>category</x:v>
      </x:c>
      <x:c r="E4" s="26" t="str">
        <x:v>unit</x:v>
      </x:c>
      <x:c r="F4" s="26" t="str">
        <x:v>balance_qty</x:v>
      </x:c>
      <x:c r="G4" s="26" t="str">
        <x:v>reorder_threshold</x:v>
      </x:c>
      <x:c r="H4" s="26" t="str">
        <x:v>monthly_consumption</x:v>
      </x:c>
      <x:c r="I4" s="26" t="str">
        <x:v>supplier</x:v>
      </x:c>
      <x:c r="J4" s="26" t="str">
        <x:v>storage_zone_id</x:v>
      </x:c>
      <x:c r="K4" s="26" t="str">
        <x:v>stock_status</x:v>
      </x:c>
    </x:row>
    <x:row r="5" ht="24" customHeight="1">
      <x:c r="A5" s="32" t="str">
        <x:v>PPE-001</x:v>
      </x:c>
      <x:c r="B5" s="32" t="str">
        <x:v>HLM-WHT</x:v>
      </x:c>
      <x:c r="C5" s="32" t="str">
        <x:v>خوذة أمان بيضاء</x:v>
      </x:c>
      <x:c r="D5" s="32" t="str">
        <x:v>HEAD</x:v>
      </x:c>
      <x:c r="E5" s="32" t="str">
        <x:v>EA</x:v>
      </x:c>
      <x:c r="F5" s="33" t="n">
        <x:v>84</x:v>
      </x:c>
      <x:c r="G5" s="33" t="n">
        <x:v>30</x:v>
      </x:c>
      <x:c r="H5" s="33" t="n">
        <x:v>18</x:v>
      </x:c>
      <x:c r="I5" s="32" t="str">
        <x:v>Supplier A</x:v>
      </x:c>
      <x:c r="J5" s="32" t="str">
        <x:v>ZN-W01</x:v>
      </x:c>
      <x:c r="K5" s="32" t="str">
        <x:f>IF(F5&lt;=G5,"BELOW_THRESHOLD",IF(F5&lt;=G5*1.25,"LOW_STOCK","OK"))</x:f>
        <x:v>OK</x:v>
      </x:c>
    </x:row>
    <x:row r="6" ht="24" customHeight="1">
      <x:c r="A6" s="35" t="str">
        <x:v>PPE-002</x:v>
      </x:c>
      <x:c r="B6" s="35" t="str">
        <x:v>VST-HV</x:v>
      </x:c>
      <x:c r="C6" s="35" t="str">
        <x:v>سترة عاكسة</x:v>
      </x:c>
      <x:c r="D6" s="35" t="str">
        <x:v>BODY</x:v>
      </x:c>
      <x:c r="E6" s="35" t="str">
        <x:v>EA</x:v>
      </x:c>
      <x:c r="F6" s="36" t="n">
        <x:v>120</x:v>
      </x:c>
      <x:c r="G6" s="36" t="n">
        <x:v>40</x:v>
      </x:c>
      <x:c r="H6" s="36" t="n">
        <x:v>22</x:v>
      </x:c>
      <x:c r="I6" s="35" t="str">
        <x:v>Supplier A</x:v>
      </x:c>
      <x:c r="J6" s="35" t="str">
        <x:v>ZN-W01</x:v>
      </x:c>
      <x:c r="K6" s="35" t="str">
        <x:f>IF(F6&lt;=G6,"BELOW_THRESHOLD",IF(F6&lt;=G6*1.25,"LOW_STOCK","OK"))</x:f>
        <x:v>OK</x:v>
      </x:c>
    </x:row>
    <x:row r="7" ht="24" customHeight="1">
      <x:c r="A7" s="35" t="str">
        <x:v>PPE-003</x:v>
      </x:c>
      <x:c r="B7" s="35" t="str">
        <x:v>GLV-MEC</x:v>
      </x:c>
      <x:c r="C7" s="35" t="str">
        <x:v>قفاز ميكانيكي</x:v>
      </x:c>
      <x:c r="D7" s="35" t="str">
        <x:v>HANDS</x:v>
      </x:c>
      <x:c r="E7" s="35" t="str">
        <x:v>PAIR</x:v>
      </x:c>
      <x:c r="F7" s="36" t="n">
        <x:v>42</x:v>
      </x:c>
      <x:c r="G7" s="36" t="n">
        <x:v>50</x:v>
      </x:c>
      <x:c r="H7" s="36" t="n">
        <x:v>35</x:v>
      </x:c>
      <x:c r="I7" s="35" t="str">
        <x:v>Supplier B</x:v>
      </x:c>
      <x:c r="J7" s="35" t="str">
        <x:v>ZN-W01</x:v>
      </x:c>
      <x:c r="K7" s="35" t="str">
        <x:f>IF(F7&lt;=G7,"BELOW_THRESHOLD",IF(F7&lt;=G7*1.25,"LOW_STOCK","OK"))</x:f>
        <x:v>BELOW_THRESHOLD</x:v>
      </x:c>
    </x:row>
    <x:row r="8" ht="24" customHeight="1">
      <x:c r="A8" s="35" t="str">
        <x:v>PPE-004</x:v>
      </x:c>
      <x:c r="B8" s="35" t="str">
        <x:v>GLV-CHEM</x:v>
      </x:c>
      <x:c r="C8" s="35" t="str">
        <x:v>قفاز مقاوم للكيماويات</x:v>
      </x:c>
      <x:c r="D8" s="35" t="str">
        <x:v>HANDS</x:v>
      </x:c>
      <x:c r="E8" s="35" t="str">
        <x:v>PAIR</x:v>
      </x:c>
      <x:c r="F8" s="36" t="n">
        <x:v>18</x:v>
      </x:c>
      <x:c r="G8" s="36" t="n">
        <x:v>25</x:v>
      </x:c>
      <x:c r="H8" s="36" t="n">
        <x:v>12</x:v>
      </x:c>
      <x:c r="I8" s="35" t="str">
        <x:v>Supplier B</x:v>
      </x:c>
      <x:c r="J8" s="35" t="str">
        <x:v>ZN-CHEM</x:v>
      </x:c>
      <x:c r="K8" s="35" t="str">
        <x:f>IF(F8&lt;=G8,"BELOW_THRESHOLD",IF(F8&lt;=G8*1.25,"LOW_STOCK","OK"))</x:f>
        <x:v>BELOW_THRESHOLD</x:v>
      </x:c>
    </x:row>
    <x:row r="9" ht="24" customHeight="1">
      <x:c r="A9" s="35" t="str">
        <x:v>PPE-005</x:v>
      </x:c>
      <x:c r="B9" s="35" t="str">
        <x:v>GLV-HV</x:v>
      </x:c>
      <x:c r="C9" s="35" t="str">
        <x:v>قفاز عازل 1000V</x:v>
      </x:c>
      <x:c r="D9" s="35" t="str">
        <x:v>HANDS</x:v>
      </x:c>
      <x:c r="E9" s="35" t="str">
        <x:v>PAIR</x:v>
      </x:c>
      <x:c r="F9" s="36" t="n">
        <x:v>14</x:v>
      </x:c>
      <x:c r="G9" s="36" t="n">
        <x:v>8</x:v>
      </x:c>
      <x:c r="H9" s="36" t="n">
        <x:v>2</x:v>
      </x:c>
      <x:c r="I9" s="35" t="str">
        <x:v>Supplier C</x:v>
      </x:c>
      <x:c r="J9" s="35" t="str">
        <x:v>ZN-U01</x:v>
      </x:c>
      <x:c r="K9" s="35" t="str">
        <x:f>IF(F9&lt;=G9,"BELOW_THRESHOLD",IF(F9&lt;=G9*1.25,"LOW_STOCK","OK"))</x:f>
        <x:v>OK</x:v>
      </x:c>
    </x:row>
    <x:row r="10" ht="24" customHeight="1">
      <x:c r="A10" s="35" t="str">
        <x:v>PPE-006</x:v>
      </x:c>
      <x:c r="B10" s="35" t="str">
        <x:v>GOG-CLEAR</x:v>
      </x:c>
      <x:c r="C10" s="35" t="str">
        <x:v>نظارة واقية</x:v>
      </x:c>
      <x:c r="D10" s="35" t="str">
        <x:v>EYES</x:v>
      </x:c>
      <x:c r="E10" s="35" t="str">
        <x:v>EA</x:v>
      </x:c>
      <x:c r="F10" s="36" t="n">
        <x:v>65</x:v>
      </x:c>
      <x:c r="G10" s="36" t="n">
        <x:v>30</x:v>
      </x:c>
      <x:c r="H10" s="36" t="n">
        <x:v>20</x:v>
      </x:c>
      <x:c r="I10" s="35" t="str">
        <x:v>Supplier A</x:v>
      </x:c>
      <x:c r="J10" s="35" t="str">
        <x:v>ZN-W01</x:v>
      </x:c>
      <x:c r="K10" s="35" t="str">
        <x:f>IF(F10&lt;=G10,"BELOW_THRESHOLD",IF(F10&lt;=G10*1.25,"LOW_STOCK","OK"))</x:f>
        <x:v>OK</x:v>
      </x:c>
    </x:row>
    <x:row r="11" ht="24" customHeight="1">
      <x:c r="A11" s="35" t="str">
        <x:v>PPE-007</x:v>
      </x:c>
      <x:c r="B11" s="35" t="str">
        <x:v>FSH-WELD</x:v>
      </x:c>
      <x:c r="C11" s="35" t="str">
        <x:v>قناع لحام</x:v>
      </x:c>
      <x:c r="D11" s="35" t="str">
        <x:v>FACE</x:v>
      </x:c>
      <x:c r="E11" s="35" t="str">
        <x:v>EA</x:v>
      </x:c>
      <x:c r="F11" s="36" t="n">
        <x:v>9</x:v>
      </x:c>
      <x:c r="G11" s="36" t="n">
        <x:v>6</x:v>
      </x:c>
      <x:c r="H11" s="36" t="n">
        <x:v>1</x:v>
      </x:c>
      <x:c r="I11" s="35" t="str">
        <x:v>Supplier C</x:v>
      </x:c>
      <x:c r="J11" s="35" t="str">
        <x:v>ZN-M01</x:v>
      </x:c>
      <x:c r="K11" s="35" t="str">
        <x:f>IF(F11&lt;=G11,"BELOW_THRESHOLD",IF(F11&lt;=G11*1.25,"LOW_STOCK","OK"))</x:f>
        <x:v>OK</x:v>
      </x:c>
    </x:row>
    <x:row r="12" ht="24" customHeight="1">
      <x:c r="A12" s="35" t="str">
        <x:v>PPE-008</x:v>
      </x:c>
      <x:c r="B12" s="35" t="str">
        <x:v>EAR-PLUG</x:v>
      </x:c>
      <x:c r="C12" s="35" t="str">
        <x:v>سدادة أذن</x:v>
      </x:c>
      <x:c r="D12" s="35" t="str">
        <x:v>HEARING</x:v>
      </x:c>
      <x:c r="E12" s="35" t="str">
        <x:v>BOX</x:v>
      </x:c>
      <x:c r="F12" s="36" t="n">
        <x:v>11</x:v>
      </x:c>
      <x:c r="G12" s="36" t="n">
        <x:v>15</x:v>
      </x:c>
      <x:c r="H12" s="36" t="n">
        <x:v>9</x:v>
      </x:c>
      <x:c r="I12" s="35" t="str">
        <x:v>Supplier A</x:v>
      </x:c>
      <x:c r="J12" s="35" t="str">
        <x:v>ZN-W01</x:v>
      </x:c>
      <x:c r="K12" s="35" t="str">
        <x:f>IF(F12&lt;=G12,"BELOW_THRESHOLD",IF(F12&lt;=G12*1.25,"LOW_STOCK","OK"))</x:f>
        <x:v>BELOW_THRESHOLD</x:v>
      </x:c>
    </x:row>
    <x:row r="13" ht="24" customHeight="1">
      <x:c r="A13" s="35" t="str">
        <x:v>PPE-009</x:v>
      </x:c>
      <x:c r="B13" s="35" t="str">
        <x:v>RESP-A2</x:v>
      </x:c>
      <x:c r="C13" s="35" t="str">
        <x:v>قناع أبخرة عضوية A2</x:v>
      </x:c>
      <x:c r="D13" s="35" t="str">
        <x:v>RESPIRATORY</x:v>
      </x:c>
      <x:c r="E13" s="35" t="str">
        <x:v>EA</x:v>
      </x:c>
      <x:c r="F13" s="36" t="n">
        <x:v>16</x:v>
      </x:c>
      <x:c r="G13" s="36" t="n">
        <x:v>20</x:v>
      </x:c>
      <x:c r="H13" s="36" t="n">
        <x:v>8</x:v>
      </x:c>
      <x:c r="I13" s="35" t="str">
        <x:v>Supplier B</x:v>
      </x:c>
      <x:c r="J13" s="35" t="str">
        <x:v>ZN-CHEM</x:v>
      </x:c>
      <x:c r="K13" s="35" t="str">
        <x:f>IF(F13&lt;=G13,"BELOW_THRESHOLD",IF(F13&lt;=G13*1.25,"LOW_STOCK","OK"))</x:f>
        <x:v>BELOW_THRESHOLD</x:v>
      </x:c>
    </x:row>
    <x:row r="14" ht="24" customHeight="1">
      <x:c r="A14" s="35" t="str">
        <x:v>PPE-010</x:v>
      </x:c>
      <x:c r="B14" s="35" t="str">
        <x:v>SHO-S3</x:v>
      </x:c>
      <x:c r="C14" s="35" t="str">
        <x:v>حذاء أمان S3</x:v>
      </x:c>
      <x:c r="D14" s="35" t="str">
        <x:v>FEET</x:v>
      </x:c>
      <x:c r="E14" s="35" t="str">
        <x:v>PAIR</x:v>
      </x:c>
      <x:c r="F14" s="36" t="n">
        <x:v>38</x:v>
      </x:c>
      <x:c r="G14" s="36" t="n">
        <x:v>20</x:v>
      </x:c>
      <x:c r="H14" s="36" t="n">
        <x:v>10</x:v>
      </x:c>
      <x:c r="I14" s="35" t="str">
        <x:v>Supplier D</x:v>
      </x:c>
      <x:c r="J14" s="35" t="str">
        <x:v>ZN-W01</x:v>
      </x:c>
      <x:c r="K14" s="35" t="str">
        <x:f>IF(F14&lt;=G14,"BELOW_THRESHOLD",IF(F14&lt;=G14*1.25,"LOW_STOCK","OK"))</x:f>
        <x:v>OK</x:v>
      </x:c>
    </x:row>
    <x:row r="15" ht="24" customHeight="1">
      <x:c r="A15" s="35" t="str">
        <x:v>PPE-011</x:v>
      </x:c>
      <x:c r="B15" s="35" t="str">
        <x:v>HAR-DBL</x:v>
      </x:c>
      <x:c r="C15" s="35" t="str">
        <x:v>حزام أمان مزدوج</x:v>
      </x:c>
      <x:c r="D15" s="35" t="str">
        <x:v>FALL_PROTECTION</x:v>
      </x:c>
      <x:c r="E15" s="35" t="str">
        <x:v>EA</x:v>
      </x:c>
      <x:c r="F15" s="36" t="n">
        <x:v>12</x:v>
      </x:c>
      <x:c r="G15" s="36" t="n">
        <x:v>8</x:v>
      </x:c>
      <x:c r="H15" s="36" t="n">
        <x:v>2</x:v>
      </x:c>
      <x:c r="I15" s="35" t="str">
        <x:v>Supplier C</x:v>
      </x:c>
      <x:c r="J15" s="35" t="str">
        <x:v>ZN-M01</x:v>
      </x:c>
      <x:c r="K15" s="35" t="str">
        <x:f>IF(F15&lt;=G15,"BELOW_THRESHOLD",IF(F15&lt;=G15*1.25,"LOW_STOCK","OK"))</x:f>
        <x:v>OK</x:v>
      </x:c>
    </x:row>
    <x:row r="16" ht="24" customHeight="1">
      <x:c r="A16" s="38" t="str">
        <x:v>PPE-012</x:v>
      </x:c>
      <x:c r="B16" s="38" t="str">
        <x:v>APR-CHEM</x:v>
      </x:c>
      <x:c r="C16" s="38" t="str">
        <x:v>مريلة كيماويات</x:v>
      </x:c>
      <x:c r="D16" s="38" t="str">
        <x:v>BODY</x:v>
      </x:c>
      <x:c r="E16" s="38" t="str">
        <x:v>EA</x:v>
      </x:c>
      <x:c r="F16" s="39" t="n">
        <x:v>7</x:v>
      </x:c>
      <x:c r="G16" s="39" t="n">
        <x:v>10</x:v>
      </x:c>
      <x:c r="H16" s="39" t="n">
        <x:v>3</x:v>
      </x:c>
      <x:c r="I16" s="38" t="str">
        <x:v>Supplier B</x:v>
      </x:c>
      <x:c r="J16" s="38" t="str">
        <x:v>ZN-CHEM</x:v>
      </x:c>
      <x:c r="K16" s="38" t="str">
        <x:f>IF(F16&lt;=G16,"BELOW_THRESHOLD",IF(F16&lt;=G16*1.25,"LOW_STOCK","OK"))</x:f>
        <x:v>BELOW_THRESHOLD</x:v>
      </x:c>
    </x:row>
  </x:sheetData>
  <x:mergeCells>
    <x:mergeCell ref="A1:K1"/>
    <x:mergeCell ref="A2:K2"/>
  </x:mergeCells>
  <x:conditionalFormatting sqref="K5:K16">
    <x:cfRule type="containsText" dxfId="132" priority="1" operator="containsText" text="CRITICAL"/>
    <x:cfRule type="containsText" dxfId="133" priority="2" operator="containsText" text="EXPIRED"/>
    <x:cfRule type="containsText" dxfId="134" priority="3" operator="containsText" text="FAILED"/>
    <x:cfRule type="containsText" dxfId="135" priority="4" operator="containsText" text="OVERDUE"/>
    <x:cfRule type="containsText" dxfId="136" priority="5" operator="containsText" text="REJECTED"/>
    <x:cfRule type="containsText" dxfId="137" priority="6" operator="containsText" text="OUT_OF_SERVICE"/>
    <x:cfRule type="containsText" dxfId="138" priority="7" operator="containsText" text="BELOW_THRESHOLD"/>
    <x:cfRule type="containsText" dxfId="139" priority="8" operator="containsText" text="HIGH"/>
    <x:cfRule type="containsText" dxfId="140" priority="9" operator="containsText" text="WARNING"/>
    <x:cfRule type="containsText" dxfId="141" priority="10" operator="containsText" text="DUE_SOON"/>
    <x:cfRule type="containsText" dxfId="142" priority="11" operator="containsText" text="OPEN"/>
    <x:cfRule type="containsText" dxfId="143" priority="12" operator="containsText" text="PENDING"/>
    <x:cfRule type="containsText" dxfId="144" priority="13" operator="containsText" text="SUSPENDED"/>
    <x:cfRule type="containsText" dxfId="145" priority="14" operator="containsText" text="TESTING"/>
    <x:cfRule type="containsText" dxfId="146" priority="15" operator="containsText" text="PARTIAL_FAILURE"/>
    <x:cfRule type="containsText" dxfId="147" priority="16" operator="containsText" text="LOW_STOCK"/>
    <x:cfRule type="containsText" dxfId="148" priority="17" operator="containsText" text="ACTIVE"/>
    <x:cfRule type="containsText" dxfId="149" priority="18" operator="containsText" text="VALID"/>
    <x:cfRule type="containsText" dxfId="150" priority="19" operator="containsText" text="SUCCESS"/>
    <x:cfRule type="containsText" dxfId="151" priority="20" operator="containsText" text="COMPLETED"/>
    <x:cfRule type="containsText" dxfId="152" priority="21" operator="containsText" text="CLOSED"/>
    <x:cfRule type="containsText" dxfId="153" priority="22" operator="containsText" text="CONNECTED"/>
    <x:cfRule type="containsText" dxfId="154" priority="23" operator="containsText" text="NORMAL"/>
    <x:cfRule type="containsText" dxfId="155" priority="24" operator="containsText" text="VERIFIED"/>
    <x:cfRule type="containsText" dxfId="156" priority="25" operator="containsText" text="RESOLVED"/>
    <x:cfRule type="containsText" dxfId="157" priority="26" operator="containsText" text="PASS"/>
    <x:cfRule type="containsText" dxfId="158" priority="27" operator="containsText" text="OK"/>
    <x:cfRule type="containsText" dxfId="159" priority="28" operator="containsText" text="INFO"/>
    <x:cfRule type="containsText" dxfId="160" priority="29" operator="containsText" text="DRAFT"/>
    <x:cfRule type="containsText" dxfId="161" priority="30" operator="containsText" text="SCHEDULED"/>
    <x:cfRule type="containsText" dxfId="162" priority="31" operator="containsText" text="IN_PROGRESS"/>
    <x:cfRule type="containsText" dxfId="163" priority="32" operator="containsText" text="MODEL_REVIEW"/>
    <x:cfRule type="containsText" dxfId="164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830d40dd776547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</x:cols>
  <x:sheetData>
    <x:row r="1" ht="32" customHeight="1">
      <x:c r="A1" s="17" t="str">
        <x:v>ESCA HSE | PPE_Matrix</x:v>
      </x:c>
      <x:c r="B1" s="17" t="str">
        <x:v>ESCA HSE | PPE_Matrix</x:v>
      </x:c>
      <x:c r="C1" s="17" t="str">
        <x:v>ESCA HSE | PPE_Matrix</x:v>
      </x:c>
      <x:c r="D1" s="17" t="str">
        <x:v>ESCA HSE | PPE_Matrix</x:v>
      </x:c>
      <x:c r="E1" s="17" t="str">
        <x:v>ESCA HSE | PPE_Matrix</x:v>
      </x:c>
    </x:row>
    <x:row r="2" ht="28" customHeight="1">
      <x:c r="A2" s="21" t="str">
        <x:v>Mandatory PPE by zone | Owner: Member 6 / Member 2 | Synthetic sample data | Snapshot: 2026-08-13</x:v>
      </x:c>
      <x:c r="B2" s="21" t="str">
        <x:v>Mandatory PPE by zone | Owner: Member 6 / Member 2 | Synthetic sample data | Snapshot: 2026-08-13</x:v>
      </x:c>
      <x:c r="C2" s="21" t="str">
        <x:v>Mandatory PPE by zone | Owner: Member 6 / Member 2 | Synthetic sample data | Snapshot: 2026-08-13</x:v>
      </x:c>
      <x:c r="D2" s="21" t="str">
        <x:v>Mandatory PPE by zone | Owner: Member 6 / Member 2 | Synthetic sample data | Snapshot: 2026-08-13</x:v>
      </x:c>
      <x:c r="E2" s="21" t="str">
        <x:v>Mandatory PPE by zone | Owner: Member 6 / Member 2 | Synthetic sample data | Snapshot: 2026-08-13</x:v>
      </x:c>
    </x:row>
    <x:row r="4" ht="30" customHeight="1">
      <x:c r="A4" s="26" t="str">
        <x:v>matrix_id</x:v>
      </x:c>
      <x:c r="B4" s="26" t="str">
        <x:v>zone_id</x:v>
      </x:c>
      <x:c r="C4" s="26" t="str">
        <x:v>ppe_item_id</x:v>
      </x:c>
      <x:c r="D4" s="26" t="str">
        <x:v>required_flag</x:v>
      </x:c>
      <x:c r="E4" s="26" t="str">
        <x:v>notes</x:v>
      </x:c>
    </x:row>
    <x:row r="5" ht="24" customHeight="1">
      <x:c r="A5" s="32" t="str">
        <x:v>PPM-001</x:v>
      </x:c>
      <x:c r="B5" s="32" t="str">
        <x:v>ZN-A1</x:v>
      </x:c>
      <x:c r="C5" s="32" t="str">
        <x:v>PPE-001</x:v>
      </x:c>
      <x:c r="D5" s="34" t="b">
        <x:v>1</x:v>
      </x:c>
      <x:c r="E5" s="32" t="str">
        <x:v>Minimum entry requirement</x:v>
      </x:c>
    </x:row>
    <x:row r="6" ht="24" customHeight="1">
      <x:c r="A6" s="35" t="str">
        <x:v>PPM-002</x:v>
      </x:c>
      <x:c r="B6" s="35" t="str">
        <x:v>ZN-A1</x:v>
      </x:c>
      <x:c r="C6" s="35" t="str">
        <x:v>PPE-002</x:v>
      </x:c>
      <x:c r="D6" s="37" t="b">
        <x:v>1</x:v>
      </x:c>
      <x:c r="E6" s="35" t="str">
        <x:v>Minimum entry requirement</x:v>
      </x:c>
    </x:row>
    <x:row r="7" ht="24" customHeight="1">
      <x:c r="A7" s="35" t="str">
        <x:v>PPM-003</x:v>
      </x:c>
      <x:c r="B7" s="35" t="str">
        <x:v>ZN-A1</x:v>
      </x:c>
      <x:c r="C7" s="35" t="str">
        <x:v>PPE-003</x:v>
      </x:c>
      <x:c r="D7" s="37" t="b">
        <x:v>1</x:v>
      </x:c>
      <x:c r="E7" s="35" t="str">
        <x:v>Minimum entry requirement</x:v>
      </x:c>
    </x:row>
    <x:row r="8" ht="24" customHeight="1">
      <x:c r="A8" s="35" t="str">
        <x:v>PPM-004</x:v>
      </x:c>
      <x:c r="B8" s="35" t="str">
        <x:v>ZN-A1</x:v>
      </x:c>
      <x:c r="C8" s="35" t="str">
        <x:v>PPE-006</x:v>
      </x:c>
      <x:c r="D8" s="37" t="b">
        <x:v>1</x:v>
      </x:c>
      <x:c r="E8" s="35" t="str">
        <x:v>Minimum entry requirement</x:v>
      </x:c>
    </x:row>
    <x:row r="9" ht="24" customHeight="1">
      <x:c r="A9" s="35" t="str">
        <x:v>PPM-005</x:v>
      </x:c>
      <x:c r="B9" s="35" t="str">
        <x:v>ZN-A1</x:v>
      </x:c>
      <x:c r="C9" s="35" t="str">
        <x:v>PPE-008</x:v>
      </x:c>
      <x:c r="D9" s="37" t="b">
        <x:v>1</x:v>
      </x:c>
      <x:c r="E9" s="35" t="str">
        <x:v>Minimum entry requirement</x:v>
      </x:c>
    </x:row>
    <x:row r="10" ht="24" customHeight="1">
      <x:c r="A10" s="35" t="str">
        <x:v>PPM-006</x:v>
      </x:c>
      <x:c r="B10" s="35" t="str">
        <x:v>ZN-A1</x:v>
      </x:c>
      <x:c r="C10" s="35" t="str">
        <x:v>PPE-010</x:v>
      </x:c>
      <x:c r="D10" s="37" t="b">
        <x:v>1</x:v>
      </x:c>
      <x:c r="E10" s="35" t="str">
        <x:v>Minimum entry requirement</x:v>
      </x:c>
    </x:row>
    <x:row r="11" ht="24" customHeight="1">
      <x:c r="A11" s="35" t="str">
        <x:v>PPM-007</x:v>
      </x:c>
      <x:c r="B11" s="35" t="str">
        <x:v>ZN-A2</x:v>
      </x:c>
      <x:c r="C11" s="35" t="str">
        <x:v>PPE-001</x:v>
      </x:c>
      <x:c r="D11" s="37" t="b">
        <x:v>1</x:v>
      </x:c>
      <x:c r="E11" s="35" t="str">
        <x:v>Minimum entry requirement</x:v>
      </x:c>
    </x:row>
    <x:row r="12" ht="24" customHeight="1">
      <x:c r="A12" s="35" t="str">
        <x:v>PPM-008</x:v>
      </x:c>
      <x:c r="B12" s="35" t="str">
        <x:v>ZN-A2</x:v>
      </x:c>
      <x:c r="C12" s="35" t="str">
        <x:v>PPE-002</x:v>
      </x:c>
      <x:c r="D12" s="37" t="b">
        <x:v>1</x:v>
      </x:c>
      <x:c r="E12" s="35" t="str">
        <x:v>Minimum entry requirement</x:v>
      </x:c>
    </x:row>
    <x:row r="13" ht="24" customHeight="1">
      <x:c r="A13" s="35" t="str">
        <x:v>PPM-009</x:v>
      </x:c>
      <x:c r="B13" s="35" t="str">
        <x:v>ZN-A2</x:v>
      </x:c>
      <x:c r="C13" s="35" t="str">
        <x:v>PPE-003</x:v>
      </x:c>
      <x:c r="D13" s="37" t="b">
        <x:v>1</x:v>
      </x:c>
      <x:c r="E13" s="35" t="str">
        <x:v>Minimum entry requirement</x:v>
      </x:c>
    </x:row>
    <x:row r="14" ht="24" customHeight="1">
      <x:c r="A14" s="35" t="str">
        <x:v>PPM-010</x:v>
      </x:c>
      <x:c r="B14" s="35" t="str">
        <x:v>ZN-A2</x:v>
      </x:c>
      <x:c r="C14" s="35" t="str">
        <x:v>PPE-006</x:v>
      </x:c>
      <x:c r="D14" s="37" t="b">
        <x:v>1</x:v>
      </x:c>
      <x:c r="E14" s="35" t="str">
        <x:v>Minimum entry requirement</x:v>
      </x:c>
    </x:row>
    <x:row r="15" ht="24" customHeight="1">
      <x:c r="A15" s="35" t="str">
        <x:v>PPM-011</x:v>
      </x:c>
      <x:c r="B15" s="35" t="str">
        <x:v>ZN-A2</x:v>
      </x:c>
      <x:c r="C15" s="35" t="str">
        <x:v>PPE-008</x:v>
      </x:c>
      <x:c r="D15" s="37" t="b">
        <x:v>1</x:v>
      </x:c>
      <x:c r="E15" s="35" t="str">
        <x:v>Minimum entry requirement</x:v>
      </x:c>
    </x:row>
    <x:row r="16" ht="24" customHeight="1">
      <x:c r="A16" s="35" t="str">
        <x:v>PPM-012</x:v>
      </x:c>
      <x:c r="B16" s="35" t="str">
        <x:v>ZN-A2</x:v>
      </x:c>
      <x:c r="C16" s="35" t="str">
        <x:v>PPE-010</x:v>
      </x:c>
      <x:c r="D16" s="37" t="b">
        <x:v>1</x:v>
      </x:c>
      <x:c r="E16" s="35" t="str">
        <x:v>Minimum entry requirement</x:v>
      </x:c>
    </x:row>
    <x:row r="17" ht="24" customHeight="1">
      <x:c r="A17" s="35" t="str">
        <x:v>PPM-013</x:v>
      </x:c>
      <x:c r="B17" s="35" t="str">
        <x:v>ZN-B1</x:v>
      </x:c>
      <x:c r="C17" s="35" t="str">
        <x:v>PPE-001</x:v>
      </x:c>
      <x:c r="D17" s="37" t="b">
        <x:v>1</x:v>
      </x:c>
      <x:c r="E17" s="35" t="str">
        <x:v>Minimum entry requirement</x:v>
      </x:c>
    </x:row>
    <x:row r="18" ht="24" customHeight="1">
      <x:c r="A18" s="35" t="str">
        <x:v>PPM-014</x:v>
      </x:c>
      <x:c r="B18" s="35" t="str">
        <x:v>ZN-B1</x:v>
      </x:c>
      <x:c r="C18" s="35" t="str">
        <x:v>PPE-002</x:v>
      </x:c>
      <x:c r="D18" s="37" t="b">
        <x:v>1</x:v>
      </x:c>
      <x:c r="E18" s="35" t="str">
        <x:v>Minimum entry requirement</x:v>
      </x:c>
    </x:row>
    <x:row r="19" ht="24" customHeight="1">
      <x:c r="A19" s="35" t="str">
        <x:v>PPM-015</x:v>
      </x:c>
      <x:c r="B19" s="35" t="str">
        <x:v>ZN-B1</x:v>
      </x:c>
      <x:c r="C19" s="35" t="str">
        <x:v>PPE-003</x:v>
      </x:c>
      <x:c r="D19" s="37" t="b">
        <x:v>1</x:v>
      </x:c>
      <x:c r="E19" s="35" t="str">
        <x:v>Minimum entry requirement</x:v>
      </x:c>
    </x:row>
    <x:row r="20" ht="24" customHeight="1">
      <x:c r="A20" s="35" t="str">
        <x:v>PPM-016</x:v>
      </x:c>
      <x:c r="B20" s="35" t="str">
        <x:v>ZN-B1</x:v>
      </x:c>
      <x:c r="C20" s="35" t="str">
        <x:v>PPE-006</x:v>
      </x:c>
      <x:c r="D20" s="37" t="b">
        <x:v>1</x:v>
      </x:c>
      <x:c r="E20" s="35" t="str">
        <x:v>Minimum entry requirement</x:v>
      </x:c>
    </x:row>
    <x:row r="21" ht="24" customHeight="1">
      <x:c r="A21" s="35" t="str">
        <x:v>PPM-017</x:v>
      </x:c>
      <x:c r="B21" s="35" t="str">
        <x:v>ZN-B1</x:v>
      </x:c>
      <x:c r="C21" s="35" t="str">
        <x:v>PPE-008</x:v>
      </x:c>
      <x:c r="D21" s="37" t="b">
        <x:v>1</x:v>
      </x:c>
      <x:c r="E21" s="35" t="str">
        <x:v>Minimum entry requirement</x:v>
      </x:c>
    </x:row>
    <x:row r="22" ht="24" customHeight="1">
      <x:c r="A22" s="35" t="str">
        <x:v>PPM-018</x:v>
      </x:c>
      <x:c r="B22" s="35" t="str">
        <x:v>ZN-B1</x:v>
      </x:c>
      <x:c r="C22" s="35" t="str">
        <x:v>PPE-010</x:v>
      </x:c>
      <x:c r="D22" s="37" t="b">
        <x:v>1</x:v>
      </x:c>
      <x:c r="E22" s="35" t="str">
        <x:v>Minimum entry requirement</x:v>
      </x:c>
    </x:row>
    <x:row r="23" ht="24" customHeight="1">
      <x:c r="A23" s="35" t="str">
        <x:v>PPM-019</x:v>
      </x:c>
      <x:c r="B23" s="35" t="str">
        <x:v>ZN-M01</x:v>
      </x:c>
      <x:c r="C23" s="35" t="str">
        <x:v>PPE-001</x:v>
      </x:c>
      <x:c r="D23" s="37" t="b">
        <x:v>1</x:v>
      </x:c>
      <x:c r="E23" s="35" t="str">
        <x:v>Minimum entry requirement</x:v>
      </x:c>
    </x:row>
    <x:row r="24" ht="24" customHeight="1">
      <x:c r="A24" s="35" t="str">
        <x:v>PPM-020</x:v>
      </x:c>
      <x:c r="B24" s="35" t="str">
        <x:v>ZN-M01</x:v>
      </x:c>
      <x:c r="C24" s="35" t="str">
        <x:v>PPE-002</x:v>
      </x:c>
      <x:c r="D24" s="37" t="b">
        <x:v>1</x:v>
      </x:c>
      <x:c r="E24" s="35" t="str">
        <x:v>Minimum entry requirement</x:v>
      </x:c>
    </x:row>
    <x:row r="25" ht="24" customHeight="1">
      <x:c r="A25" s="35" t="str">
        <x:v>PPM-021</x:v>
      </x:c>
      <x:c r="B25" s="35" t="str">
        <x:v>ZN-M01</x:v>
      </x:c>
      <x:c r="C25" s="35" t="str">
        <x:v>PPE-003</x:v>
      </x:c>
      <x:c r="D25" s="37" t="b">
        <x:v>1</x:v>
      </x:c>
      <x:c r="E25" s="35" t="str">
        <x:v>Minimum entry requirement</x:v>
      </x:c>
    </x:row>
    <x:row r="26" ht="24" customHeight="1">
      <x:c r="A26" s="35" t="str">
        <x:v>PPM-022</x:v>
      </x:c>
      <x:c r="B26" s="35" t="str">
        <x:v>ZN-M01</x:v>
      </x:c>
      <x:c r="C26" s="35" t="str">
        <x:v>PPE-006</x:v>
      </x:c>
      <x:c r="D26" s="37" t="b">
        <x:v>1</x:v>
      </x:c>
      <x:c r="E26" s="35" t="str">
        <x:v>Minimum entry requirement</x:v>
      </x:c>
    </x:row>
    <x:row r="27" ht="24" customHeight="1">
      <x:c r="A27" s="35" t="str">
        <x:v>PPM-023</x:v>
      </x:c>
      <x:c r="B27" s="35" t="str">
        <x:v>ZN-M01</x:v>
      </x:c>
      <x:c r="C27" s="35" t="str">
        <x:v>PPE-007</x:v>
      </x:c>
      <x:c r="D27" s="37" t="b">
        <x:v>1</x:v>
      </x:c>
      <x:c r="E27" s="35" t="str">
        <x:v>Minimum entry requirement</x:v>
      </x:c>
    </x:row>
    <x:row r="28" ht="24" customHeight="1">
      <x:c r="A28" s="35" t="str">
        <x:v>PPM-024</x:v>
      </x:c>
      <x:c r="B28" s="35" t="str">
        <x:v>ZN-M01</x:v>
      </x:c>
      <x:c r="C28" s="35" t="str">
        <x:v>PPE-010</x:v>
      </x:c>
      <x:c r="D28" s="37" t="b">
        <x:v>1</x:v>
      </x:c>
      <x:c r="E28" s="35" t="str">
        <x:v>Minimum entry requirement</x:v>
      </x:c>
    </x:row>
    <x:row r="29" ht="24" customHeight="1">
      <x:c r="A29" s="35" t="str">
        <x:v>PPM-025</x:v>
      </x:c>
      <x:c r="B29" s="35" t="str">
        <x:v>ZN-M01</x:v>
      </x:c>
      <x:c r="C29" s="35" t="str">
        <x:v>PPE-011</x:v>
      </x:c>
      <x:c r="D29" s="37" t="b">
        <x:v>1</x:v>
      </x:c>
      <x:c r="E29" s="35" t="str">
        <x:v>Minimum entry requirement</x:v>
      </x:c>
    </x:row>
    <x:row r="30" ht="24" customHeight="1">
      <x:c r="A30" s="35" t="str">
        <x:v>PPM-026</x:v>
      </x:c>
      <x:c r="B30" s="35" t="str">
        <x:v>ZN-U01</x:v>
      </x:c>
      <x:c r="C30" s="35" t="str">
        <x:v>PPE-001</x:v>
      </x:c>
      <x:c r="D30" s="37" t="b">
        <x:v>1</x:v>
      </x:c>
      <x:c r="E30" s="35" t="str">
        <x:v>Minimum entry requirement</x:v>
      </x:c>
    </x:row>
    <x:row r="31" ht="24" customHeight="1">
      <x:c r="A31" s="35" t="str">
        <x:v>PPM-027</x:v>
      </x:c>
      <x:c r="B31" s="35" t="str">
        <x:v>ZN-U01</x:v>
      </x:c>
      <x:c r="C31" s="35" t="str">
        <x:v>PPE-002</x:v>
      </x:c>
      <x:c r="D31" s="37" t="b">
        <x:v>1</x:v>
      </x:c>
      <x:c r="E31" s="35" t="str">
        <x:v>Minimum entry requirement</x:v>
      </x:c>
    </x:row>
    <x:row r="32" ht="24" customHeight="1">
      <x:c r="A32" s="35" t="str">
        <x:v>PPM-028</x:v>
      </x:c>
      <x:c r="B32" s="35" t="str">
        <x:v>ZN-U01</x:v>
      </x:c>
      <x:c r="C32" s="35" t="str">
        <x:v>PPE-005</x:v>
      </x:c>
      <x:c r="D32" s="37" t="b">
        <x:v>1</x:v>
      </x:c>
      <x:c r="E32" s="35" t="str">
        <x:v>Minimum entry requirement</x:v>
      </x:c>
    </x:row>
    <x:row r="33" ht="24" customHeight="1">
      <x:c r="A33" s="35" t="str">
        <x:v>PPM-029</x:v>
      </x:c>
      <x:c r="B33" s="35" t="str">
        <x:v>ZN-U01</x:v>
      </x:c>
      <x:c r="C33" s="35" t="str">
        <x:v>PPE-006</x:v>
      </x:c>
      <x:c r="D33" s="37" t="b">
        <x:v>1</x:v>
      </x:c>
      <x:c r="E33" s="35" t="str">
        <x:v>Minimum entry requirement</x:v>
      </x:c>
    </x:row>
    <x:row r="34" ht="24" customHeight="1">
      <x:c r="A34" s="35" t="str">
        <x:v>PPM-030</x:v>
      </x:c>
      <x:c r="B34" s="35" t="str">
        <x:v>ZN-U01</x:v>
      </x:c>
      <x:c r="C34" s="35" t="str">
        <x:v>PPE-010</x:v>
      </x:c>
      <x:c r="D34" s="37" t="b">
        <x:v>1</x:v>
      </x:c>
      <x:c r="E34" s="35" t="str">
        <x:v>Minimum entry requirement</x:v>
      </x:c>
    </x:row>
    <x:row r="35" ht="24" customHeight="1">
      <x:c r="A35" s="35" t="str">
        <x:v>PPM-031</x:v>
      </x:c>
      <x:c r="B35" s="35" t="str">
        <x:v>ZN-CHEM</x:v>
      </x:c>
      <x:c r="C35" s="35" t="str">
        <x:v>PPE-001</x:v>
      </x:c>
      <x:c r="D35" s="37" t="b">
        <x:v>1</x:v>
      </x:c>
      <x:c r="E35" s="35" t="str">
        <x:v>Minimum entry requirement</x:v>
      </x:c>
    </x:row>
    <x:row r="36" ht="24" customHeight="1">
      <x:c r="A36" s="35" t="str">
        <x:v>PPM-032</x:v>
      </x:c>
      <x:c r="B36" s="35" t="str">
        <x:v>ZN-CHEM</x:v>
      </x:c>
      <x:c r="C36" s="35" t="str">
        <x:v>PPE-002</x:v>
      </x:c>
      <x:c r="D36" s="37" t="b">
        <x:v>1</x:v>
      </x:c>
      <x:c r="E36" s="35" t="str">
        <x:v>Minimum entry requirement</x:v>
      </x:c>
    </x:row>
    <x:row r="37" ht="24" customHeight="1">
      <x:c r="A37" s="35" t="str">
        <x:v>PPM-033</x:v>
      </x:c>
      <x:c r="B37" s="35" t="str">
        <x:v>ZN-CHEM</x:v>
      </x:c>
      <x:c r="C37" s="35" t="str">
        <x:v>PPE-004</x:v>
      </x:c>
      <x:c r="D37" s="37" t="b">
        <x:v>1</x:v>
      </x:c>
      <x:c r="E37" s="35" t="str">
        <x:v>Minimum entry requirement</x:v>
      </x:c>
    </x:row>
    <x:row r="38" ht="24" customHeight="1">
      <x:c r="A38" s="35" t="str">
        <x:v>PPM-034</x:v>
      </x:c>
      <x:c r="B38" s="35" t="str">
        <x:v>ZN-CHEM</x:v>
      </x:c>
      <x:c r="C38" s="35" t="str">
        <x:v>PPE-006</x:v>
      </x:c>
      <x:c r="D38" s="37" t="b">
        <x:v>1</x:v>
      </x:c>
      <x:c r="E38" s="35" t="str">
        <x:v>Minimum entry requirement</x:v>
      </x:c>
    </x:row>
    <x:row r="39" ht="24" customHeight="1">
      <x:c r="A39" s="35" t="str">
        <x:v>PPM-035</x:v>
      </x:c>
      <x:c r="B39" s="35" t="str">
        <x:v>ZN-CHEM</x:v>
      </x:c>
      <x:c r="C39" s="35" t="str">
        <x:v>PPE-009</x:v>
      </x:c>
      <x:c r="D39" s="37" t="b">
        <x:v>1</x:v>
      </x:c>
      <x:c r="E39" s="35" t="str">
        <x:v>Minimum entry requirement</x:v>
      </x:c>
    </x:row>
    <x:row r="40" ht="24" customHeight="1">
      <x:c r="A40" s="35" t="str">
        <x:v>PPM-036</x:v>
      </x:c>
      <x:c r="B40" s="35" t="str">
        <x:v>ZN-CHEM</x:v>
      </x:c>
      <x:c r="C40" s="35" t="str">
        <x:v>PPE-010</x:v>
      </x:c>
      <x:c r="D40" s="37" t="b">
        <x:v>1</x:v>
      </x:c>
      <x:c r="E40" s="35" t="str">
        <x:v>Minimum entry requirement</x:v>
      </x:c>
    </x:row>
    <x:row r="41" ht="24" customHeight="1">
      <x:c r="A41" s="38" t="str">
        <x:v>PPM-037</x:v>
      </x:c>
      <x:c r="B41" s="38" t="str">
        <x:v>ZN-CHEM</x:v>
      </x:c>
      <x:c r="C41" s="38" t="str">
        <x:v>PPE-012</x:v>
      </x:c>
      <x:c r="D41" s="40" t="b">
        <x:v>1</x:v>
      </x:c>
      <x:c r="E41" s="38" t="str">
        <x:v>Minimum entry requirement</x:v>
      </x:c>
    </x:row>
  </x:sheetData>
  <x:mergeCells>
    <x:mergeCell ref="A1:E1"/>
    <x:mergeCell ref="A2:E2"/>
  </x:mergeCells>
  <x:conditionalFormatting sqref="D5:D41">
    <x:cfRule type="containsText" dxfId="165" priority="1" operator="containsText" text="CRITICAL"/>
    <x:cfRule type="containsText" dxfId="166" priority="2" operator="containsText" text="EXPIRED"/>
    <x:cfRule type="containsText" dxfId="167" priority="3" operator="containsText" text="FAILED"/>
    <x:cfRule type="containsText" dxfId="168" priority="4" operator="containsText" text="OVERDUE"/>
    <x:cfRule type="containsText" dxfId="169" priority="5" operator="containsText" text="REJECTED"/>
    <x:cfRule type="containsText" dxfId="170" priority="6" operator="containsText" text="OUT_OF_SERVICE"/>
    <x:cfRule type="containsText" dxfId="171" priority="7" operator="containsText" text="BELOW_THRESHOLD"/>
    <x:cfRule type="containsText" dxfId="172" priority="8" operator="containsText" text="HIGH"/>
    <x:cfRule type="containsText" dxfId="173" priority="9" operator="containsText" text="WARNING"/>
    <x:cfRule type="containsText" dxfId="174" priority="10" operator="containsText" text="DUE_SOON"/>
    <x:cfRule type="containsText" dxfId="175" priority="11" operator="containsText" text="OPEN"/>
    <x:cfRule type="containsText" dxfId="176" priority="12" operator="containsText" text="PENDING"/>
    <x:cfRule type="containsText" dxfId="177" priority="13" operator="containsText" text="SUSPENDED"/>
    <x:cfRule type="containsText" dxfId="178" priority="14" operator="containsText" text="TESTING"/>
    <x:cfRule type="containsText" dxfId="179" priority="15" operator="containsText" text="PARTIAL_FAILURE"/>
    <x:cfRule type="containsText" dxfId="180" priority="16" operator="containsText" text="LOW_STOCK"/>
    <x:cfRule type="containsText" dxfId="181" priority="17" operator="containsText" text="ACTIVE"/>
    <x:cfRule type="containsText" dxfId="182" priority="18" operator="containsText" text="VALID"/>
    <x:cfRule type="containsText" dxfId="183" priority="19" operator="containsText" text="SUCCESS"/>
    <x:cfRule type="containsText" dxfId="184" priority="20" operator="containsText" text="COMPLETED"/>
    <x:cfRule type="containsText" dxfId="185" priority="21" operator="containsText" text="CLOSED"/>
    <x:cfRule type="containsText" dxfId="186" priority="22" operator="containsText" text="CONNECTED"/>
    <x:cfRule type="containsText" dxfId="187" priority="23" operator="containsText" text="NORMAL"/>
    <x:cfRule type="containsText" dxfId="188" priority="24" operator="containsText" text="VERIFIED"/>
    <x:cfRule type="containsText" dxfId="189" priority="25" operator="containsText" text="RESOLVED"/>
    <x:cfRule type="containsText" dxfId="190" priority="26" operator="containsText" text="PASS"/>
    <x:cfRule type="containsText" dxfId="191" priority="27" operator="containsText" text="OK"/>
    <x:cfRule type="containsText" dxfId="192" priority="28" operator="containsText" text="INFO"/>
    <x:cfRule type="containsText" dxfId="193" priority="29" operator="containsText" text="DRAFT"/>
    <x:cfRule type="containsText" dxfId="194" priority="30" operator="containsText" text="SCHEDULED"/>
    <x:cfRule type="containsText" dxfId="195" priority="31" operator="containsText" text="IN_PROGRESS"/>
    <x:cfRule type="containsText" dxfId="196" priority="32" operator="containsText" text="MODEL_REVIEW"/>
    <x:cfRule type="containsText" dxfId="197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c85178bb3fa44d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17" t="str">
        <x:v>ESCA HSE | Fire_Equipment</x:v>
      </x:c>
      <x:c r="B1" s="17" t="str">
        <x:v>ESCA HSE | Fire_Equipment</x:v>
      </x:c>
      <x:c r="C1" s="17" t="str">
        <x:v>ESCA HSE | Fire_Equipment</x:v>
      </x:c>
      <x:c r="D1" s="17" t="str">
        <x:v>ESCA HSE | Fire_Equipment</x:v>
      </x:c>
      <x:c r="E1" s="17" t="str">
        <x:v>ESCA HSE | Fire_Equipment</x:v>
      </x:c>
      <x:c r="F1" s="17" t="str">
        <x:v>ESCA HSE | Fire_Equipment</x:v>
      </x:c>
      <x:c r="G1" s="17" t="str">
        <x:v>ESCA HSE | Fire_Equipment</x:v>
      </x:c>
      <x:c r="H1" s="17" t="str">
        <x:v>ESCA HSE | Fire_Equipment</x:v>
      </x:c>
      <x:c r="I1" s="17" t="str">
        <x:v>ESCA HSE | Fire_Equipment</x:v>
      </x:c>
      <x:c r="J1" s="17" t="str">
        <x:v>ESCA HSE | Fire_Equipment</x:v>
      </x:c>
      <x:c r="K1" s="17" t="str">
        <x:v>ESCA HSE | Fire_Equipment</x:v>
      </x:c>
      <x:c r="L1" s="17" t="str">
        <x:v>ESCA HSE | Fire_Equipment</x:v>
      </x:c>
      <x:c r="M1" s="17" t="str">
        <x:v>ESCA HSE | Fire_Equipment</x:v>
      </x:c>
      <x:c r="N1" s="17" t="str">
        <x:v>ESCA HSE | Fire_Equipment</x:v>
      </x:c>
    </x:row>
    <x:row r="2" ht="28" customHeight="1">
      <x:c r="A2" s="21" t="str">
        <x:v>Fire equipment registry | Owner: Member 6 | Synthetic sample data | Snapshot: 2026-08-13</x:v>
      </x:c>
      <x:c r="B2" s="21" t="str">
        <x:v>Fire equipment registry | Owner: Member 6 | Synthetic sample data | Snapshot: 2026-08-13</x:v>
      </x:c>
      <x:c r="C2" s="21" t="str">
        <x:v>Fire equipment registry | Owner: Member 6 | Synthetic sample data | Snapshot: 2026-08-13</x:v>
      </x:c>
      <x:c r="D2" s="21" t="str">
        <x:v>Fire equipment registry | Owner: Member 6 | Synthetic sample data | Snapshot: 2026-08-13</x:v>
      </x:c>
      <x:c r="E2" s="21" t="str">
        <x:v>Fire equipment registry | Owner: Member 6 | Synthetic sample data | Snapshot: 2026-08-13</x:v>
      </x:c>
      <x:c r="F2" s="21" t="str">
        <x:v>Fire equipment registry | Owner: Member 6 | Synthetic sample data | Snapshot: 2026-08-13</x:v>
      </x:c>
      <x:c r="G2" s="21" t="str">
        <x:v>Fire equipment registry | Owner: Member 6 | Synthetic sample data | Snapshot: 2026-08-13</x:v>
      </x:c>
      <x:c r="H2" s="21" t="str">
        <x:v>Fire equipment registry | Owner: Member 6 | Synthetic sample data | Snapshot: 2026-08-13</x:v>
      </x:c>
      <x:c r="I2" s="21" t="str">
        <x:v>Fire equipment registry | Owner: Member 6 | Synthetic sample data | Snapshot: 2026-08-13</x:v>
      </x:c>
      <x:c r="J2" s="21" t="str">
        <x:v>Fire equipment registry | Owner: Member 6 | Synthetic sample data | Snapshot: 2026-08-13</x:v>
      </x:c>
      <x:c r="K2" s="21" t="str">
        <x:v>Fire equipment registry | Owner: Member 6 | Synthetic sample data | Snapshot: 2026-08-13</x:v>
      </x:c>
      <x:c r="L2" s="21" t="str">
        <x:v>Fire equipment registry | Owner: Member 6 | Synthetic sample data | Snapshot: 2026-08-13</x:v>
      </x:c>
      <x:c r="M2" s="21" t="str">
        <x:v>Fire equipment registry | Owner: Member 6 | Synthetic sample data | Snapshot: 2026-08-13</x:v>
      </x:c>
      <x:c r="N2" s="21" t="str">
        <x:v>Fire equipment registry | Owner: Member 6 | Synthetic sample data | Snapshot: 2026-08-13</x:v>
      </x:c>
    </x:row>
    <x:row r="4" ht="30" customHeight="1">
      <x:c r="A4" s="26" t="str">
        <x:v>equipment_id</x:v>
      </x:c>
      <x:c r="B4" s="26" t="str">
        <x:v>asset_type</x:v>
      </x:c>
      <x:c r="C4" s="26" t="str">
        <x:v>subtype</x:v>
      </x:c>
      <x:c r="D4" s="26" t="str">
        <x:v>department_id</x:v>
      </x:c>
      <x:c r="E4" s="26" t="str">
        <x:v>zone_id</x:v>
      </x:c>
      <x:c r="F4" s="26" t="str">
        <x:v>location_detail</x:v>
      </x:c>
      <x:c r="G4" s="26" t="str">
        <x:v>capacity</x:v>
      </x:c>
      <x:c r="H4" s="26" t="str">
        <x:v>installation_date</x:v>
      </x:c>
      <x:c r="I4" s="26" t="str">
        <x:v>expiry_date</x:v>
      </x:c>
      <x:c r="J4" s="26" t="str">
        <x:v>last_inspection_date</x:v>
      </x:c>
      <x:c r="K4" s="26" t="str">
        <x:v>next_inspection_date</x:v>
      </x:c>
      <x:c r="L4" s="26" t="str">
        <x:v>status</x:v>
      </x:c>
      <x:c r="M4" s="26" t="str">
        <x:v>vendor</x:v>
      </x:c>
      <x:c r="N4" s="26" t="str">
        <x:v>qr_code</x:v>
      </x:c>
    </x:row>
    <x:row r="5" ht="24" customHeight="1">
      <x:c r="A5" s="32" t="str">
        <x:v>FE-A-001</x:v>
      </x:c>
      <x:c r="B5" s="32" t="str">
        <x:v>EXTINGUISHER</x:v>
      </x:c>
      <x:c r="C5" s="32" t="str">
        <x:v>DRY_POWDER</x:v>
      </x:c>
      <x:c r="D5" s="32" t="str">
        <x:v>DEP-PROD-A</x:v>
      </x:c>
      <x:c r="E5" s="32" t="str">
        <x:v>ZN-A1</x:v>
      </x:c>
      <x:c r="F5" s="32" t="str">
        <x:v>Main entrance gate</x:v>
      </x:c>
      <x:c r="G5" s="32" t="str">
        <x:v>6 kg</x:v>
      </x:c>
      <x:c r="H5" s="42" t="n">
        <x:v>44986</x:v>
      </x:c>
      <x:c r="I5" s="42" t="n">
        <x:v>46447</x:v>
      </x:c>
      <x:c r="J5" s="42" t="n">
        <x:v>46235</x:v>
      </x:c>
      <x:c r="K5" s="42" t="n">
        <x:v>46266</x:v>
      </x:c>
      <x:c r="L5" s="32" t="str">
        <x:v>VALID</x:v>
      </x:c>
      <x:c r="M5" s="32" t="str">
        <x:v>Certified Fire Vendor</x:v>
      </x:c>
      <x:c r="N5" s="32" t="str">
        <x:v>QR-FE-A-001</x:v>
      </x:c>
    </x:row>
    <x:row r="6" ht="24" customHeight="1">
      <x:c r="A6" s="35" t="str">
        <x:v>FE-A-002</x:v>
      </x:c>
      <x:c r="B6" s="35" t="str">
        <x:v>EXTINGUISHER</x:v>
      </x:c>
      <x:c r="C6" s="35" t="str">
        <x:v>CO2</x:v>
      </x:c>
      <x:c r="D6" s="35" t="str">
        <x:v>DEP-PROD-A</x:v>
      </x:c>
      <x:c r="E6" s="35" t="str">
        <x:v>ZN-A1</x:v>
      </x:c>
      <x:c r="F6" s="35" t="str">
        <x:v>Injection machine 1</x:v>
      </x:c>
      <x:c r="G6" s="35" t="str">
        <x:v>5 kg</x:v>
      </x:c>
      <x:c r="H6" s="43" t="n">
        <x:v>44927</x:v>
      </x:c>
      <x:c r="I6" s="43" t="n">
        <x:v>46388</x:v>
      </x:c>
      <x:c r="J6" s="43" t="n">
        <x:v>46235</x:v>
      </x:c>
      <x:c r="K6" s="43" t="n">
        <x:v>46266</x:v>
      </x:c>
      <x:c r="L6" s="35" t="str">
        <x:v>VALID</x:v>
      </x:c>
      <x:c r="M6" s="35" t="str">
        <x:v>Certified Fire Vendor</x:v>
      </x:c>
      <x:c r="N6" s="35" t="str">
        <x:v>QR-FE-A-002</x:v>
      </x:c>
    </x:row>
    <x:row r="7" ht="24" customHeight="1">
      <x:c r="A7" s="35" t="str">
        <x:v>FE-A-003</x:v>
      </x:c>
      <x:c r="B7" s="35" t="str">
        <x:v>EXTINGUISHER</x:v>
      </x:c>
      <x:c r="C7" s="35" t="str">
        <x:v>CO2</x:v>
      </x:c>
      <x:c r="D7" s="35" t="str">
        <x:v>DEP-PROD-A</x:v>
      </x:c>
      <x:c r="E7" s="35" t="str">
        <x:v>ZN-A2</x:v>
      </x:c>
      <x:c r="F7" s="35" t="str">
        <x:v>Injection machine 2</x:v>
      </x:c>
      <x:c r="G7" s="35" t="str">
        <x:v>5 kg</x:v>
      </x:c>
      <x:c r="H7" s="43" t="n">
        <x:v>44927</x:v>
      </x:c>
      <x:c r="I7" s="43" t="n">
        <x:v>46388</x:v>
      </x:c>
      <x:c r="J7" s="43" t="n">
        <x:v>46235</x:v>
      </x:c>
      <x:c r="K7" s="43" t="n">
        <x:v>46266</x:v>
      </x:c>
      <x:c r="L7" s="35" t="str">
        <x:v>VALID</x:v>
      </x:c>
      <x:c r="M7" s="35" t="str">
        <x:v>Certified Fire Vendor</x:v>
      </x:c>
      <x:c r="N7" s="35" t="str">
        <x:v>QR-FE-A-003</x:v>
      </x:c>
    </x:row>
    <x:row r="8" ht="24" customHeight="1">
      <x:c r="A8" s="35" t="str">
        <x:v>FE-A-004</x:v>
      </x:c>
      <x:c r="B8" s="35" t="str">
        <x:v>EXTINGUISHER</x:v>
      </x:c>
      <x:c r="C8" s="35" t="str">
        <x:v>CO2</x:v>
      </x:c>
      <x:c r="D8" s="35" t="str">
        <x:v>DEP-PROD-A</x:v>
      </x:c>
      <x:c r="E8" s="35" t="str">
        <x:v>ZN-A1</x:v>
      </x:c>
      <x:c r="F8" s="35" t="str">
        <x:v>Main control panel</x:v>
      </x:c>
      <x:c r="G8" s="35" t="str">
        <x:v>10 kg</x:v>
      </x:c>
      <x:c r="H8" s="43" t="n">
        <x:v>44896</x:v>
      </x:c>
      <x:c r="I8" s="43" t="n">
        <x:v>46357</x:v>
      </x:c>
      <x:c r="J8" s="43" t="n">
        <x:v>46235</x:v>
      </x:c>
      <x:c r="K8" s="43" t="n">
        <x:v>46266</x:v>
      </x:c>
      <x:c r="L8" s="35" t="str">
        <x:v>VALID</x:v>
      </x:c>
      <x:c r="M8" s="35" t="str">
        <x:v>Certified Fire Vendor</x:v>
      </x:c>
      <x:c r="N8" s="35" t="str">
        <x:v>QR-FE-A-004</x:v>
      </x:c>
    </x:row>
    <x:row r="9" ht="24" customHeight="1">
      <x:c r="A9" s="35" t="str">
        <x:v>FE-A-005</x:v>
      </x:c>
      <x:c r="B9" s="35" t="str">
        <x:v>EXTINGUISHER</x:v>
      </x:c>
      <x:c r="C9" s="35" t="str">
        <x:v>DRY_POWDER</x:v>
      </x:c>
      <x:c r="D9" s="35" t="str">
        <x:v>DEP-PROD-A</x:v>
      </x:c>
      <x:c r="E9" s="35" t="str">
        <x:v>ZN-A2</x:v>
      </x:c>
      <x:c r="F9" s="35" t="str">
        <x:v>Packing area</x:v>
      </x:c>
      <x:c r="G9" s="35" t="str">
        <x:v>6 kg</x:v>
      </x:c>
      <x:c r="H9" s="43" t="n">
        <x:v>44958</x:v>
      </x:c>
      <x:c r="I9" s="43" t="n">
        <x:v>46419</x:v>
      </x:c>
      <x:c r="J9" s="43" t="n">
        <x:v>46235</x:v>
      </x:c>
      <x:c r="K9" s="43" t="n">
        <x:v>46266</x:v>
      </x:c>
      <x:c r="L9" s="35" t="str">
        <x:v>VALID</x:v>
      </x:c>
      <x:c r="M9" s="35" t="str">
        <x:v>Certified Fire Vendor</x:v>
      </x:c>
      <x:c r="N9" s="35" t="str">
        <x:v>QR-FE-A-005</x:v>
      </x:c>
    </x:row>
    <x:row r="10" ht="24" customHeight="1">
      <x:c r="A10" s="35" t="str">
        <x:v>FE-A-006</x:v>
      </x:c>
      <x:c r="B10" s="35" t="str">
        <x:v>EXTINGUISHER</x:v>
      </x:c>
      <x:c r="C10" s="35" t="str">
        <x:v>DRY_POWDER</x:v>
      </x:c>
      <x:c r="D10" s="35" t="str">
        <x:v>DEP-PROD-A</x:v>
      </x:c>
      <x:c r="E10" s="35" t="str">
        <x:v>ZN-A1</x:v>
      </x:c>
      <x:c r="F10" s="35" t="str">
        <x:v>Emergency corridor 1</x:v>
      </x:c>
      <x:c r="G10" s="35" t="str">
        <x:v>6 kg</x:v>
      </x:c>
      <x:c r="H10" s="43" t="n">
        <x:v>44866</x:v>
      </x:c>
      <x:c r="I10" s="43" t="n">
        <x:v>46327</x:v>
      </x:c>
      <x:c r="J10" s="43" t="n">
        <x:v>46235</x:v>
      </x:c>
      <x:c r="K10" s="43" t="n">
        <x:v>46266</x:v>
      </x:c>
      <x:c r="L10" s="35" t="str">
        <x:v>VALID</x:v>
      </x:c>
      <x:c r="M10" s="35" t="str">
        <x:v>Certified Fire Vendor</x:v>
      </x:c>
      <x:c r="N10" s="35" t="str">
        <x:v>QR-FE-A-006</x:v>
      </x:c>
    </x:row>
    <x:row r="11" ht="24" customHeight="1">
      <x:c r="A11" s="35" t="str">
        <x:v>FE-A-007</x:v>
      </x:c>
      <x:c r="B11" s="35" t="str">
        <x:v>EXTINGUISHER</x:v>
      </x:c>
      <x:c r="C11" s="35" t="str">
        <x:v>DRY_POWDER</x:v>
      </x:c>
      <x:c r="D11" s="35" t="str">
        <x:v>DEP-PROD-A</x:v>
      </x:c>
      <x:c r="E11" s="35" t="str">
        <x:v>ZN-A1</x:v>
      </x:c>
      <x:c r="F11" s="35" t="str">
        <x:v>Cutting machine 3</x:v>
      </x:c>
      <x:c r="G11" s="35" t="str">
        <x:v>6 kg</x:v>
      </x:c>
      <x:c r="H11" s="43" t="n">
        <x:v>44774</x:v>
      </x:c>
      <x:c r="I11" s="43" t="n">
        <x:v>46254</x:v>
      </x:c>
      <x:c r="J11" s="43" t="n">
        <x:v>46235</x:v>
      </x:c>
      <x:c r="K11" s="43" t="n">
        <x:v>46254</x:v>
      </x:c>
      <x:c r="L11" s="35" t="str">
        <x:v>DUE_SOON</x:v>
      </x:c>
      <x:c r="M11" s="35" t="str">
        <x:v>Certified Fire Vendor</x:v>
      </x:c>
      <x:c r="N11" s="35" t="str">
        <x:v>QR-FE-A-007</x:v>
      </x:c>
    </x:row>
    <x:row r="12" ht="24" customHeight="1">
      <x:c r="A12" s="35" t="str">
        <x:v>FE-A-008</x:v>
      </x:c>
      <x:c r="B12" s="35" t="str">
        <x:v>EXTINGUISHER</x:v>
      </x:c>
      <x:c r="C12" s="35" t="str">
        <x:v>FOAM</x:v>
      </x:c>
      <x:c r="D12" s="35" t="str">
        <x:v>DEP-WH</x:v>
      </x:c>
      <x:c r="E12" s="35" t="str">
        <x:v>ZN-W01</x:v>
      </x:c>
      <x:c r="F12" s="35" t="str">
        <x:v>Semi-finished store</x:v>
      </x:c>
      <x:c r="G12" s="35" t="str">
        <x:v>9 L</x:v>
      </x:c>
      <x:c r="H12" s="43" t="n">
        <x:v>45017</x:v>
      </x:c>
      <x:c r="I12" s="43" t="n">
        <x:v>46478</x:v>
      </x:c>
      <x:c r="J12" s="43" t="n">
        <x:v>46236</x:v>
      </x:c>
      <x:c r="K12" s="43" t="n">
        <x:v>46267</x:v>
      </x:c>
      <x:c r="L12" s="35" t="str">
        <x:v>VALID</x:v>
      </x:c>
      <x:c r="M12" s="35" t="str">
        <x:v>Certified Fire Vendor</x:v>
      </x:c>
      <x:c r="N12" s="35" t="str">
        <x:v>QR-FE-A-008</x:v>
      </x:c>
    </x:row>
    <x:row r="13" ht="24" customHeight="1">
      <x:c r="A13" s="35" t="str">
        <x:v>FE-A-009</x:v>
      </x:c>
      <x:c r="B13" s="35" t="str">
        <x:v>EXTINGUISHER</x:v>
      </x:c>
      <x:c r="C13" s="35" t="str">
        <x:v>CO2</x:v>
      </x:c>
      <x:c r="D13" s="35" t="str">
        <x:v>DEP-QC</x:v>
      </x:c>
      <x:c r="E13" s="35" t="str">
        <x:v>ZN-Q01</x:v>
      </x:c>
      <x:c r="F13" s="35" t="str">
        <x:v>Testing area</x:v>
      </x:c>
      <x:c r="G13" s="35" t="str">
        <x:v>5 kg</x:v>
      </x:c>
      <x:c r="H13" s="43" t="n">
        <x:v>44958</x:v>
      </x:c>
      <x:c r="I13" s="43" t="n">
        <x:v>46419</x:v>
      </x:c>
      <x:c r="J13" s="43" t="n">
        <x:v>46237</x:v>
      </x:c>
      <x:c r="K13" s="43" t="n">
        <x:v>46268</x:v>
      </x:c>
      <x:c r="L13" s="35" t="str">
        <x:v>VALID</x:v>
      </x:c>
      <x:c r="M13" s="35" t="str">
        <x:v>Certified Fire Vendor</x:v>
      </x:c>
      <x:c r="N13" s="35" t="str">
        <x:v>QR-FE-A-009</x:v>
      </x:c>
    </x:row>
    <x:row r="14" ht="24" customHeight="1">
      <x:c r="A14" s="35" t="str">
        <x:v>FE-A-010</x:v>
      </x:c>
      <x:c r="B14" s="35" t="str">
        <x:v>EXTINGUISHER</x:v>
      </x:c>
      <x:c r="C14" s="35" t="str">
        <x:v>DRY_POWDER</x:v>
      </x:c>
      <x:c r="D14" s="35" t="str">
        <x:v>DEP-PROD-B</x:v>
      </x:c>
      <x:c r="E14" s="35" t="str">
        <x:v>ZN-B1</x:v>
      </x:c>
      <x:c r="F14" s="35" t="str">
        <x:v>Emergency corridor 2</x:v>
      </x:c>
      <x:c r="G14" s="35" t="str">
        <x:v>6 kg</x:v>
      </x:c>
      <x:c r="H14" s="43" t="n">
        <x:v>44896</x:v>
      </x:c>
      <x:c r="I14" s="43" t="n">
        <x:v>46357</x:v>
      </x:c>
      <x:c r="J14" s="43" t="n">
        <x:v>46237</x:v>
      </x:c>
      <x:c r="K14" s="43" t="n">
        <x:v>46268</x:v>
      </x:c>
      <x:c r="L14" s="35" t="str">
        <x:v>VALID</x:v>
      </x:c>
      <x:c r="M14" s="35" t="str">
        <x:v>Certified Fire Vendor</x:v>
      </x:c>
      <x:c r="N14" s="35" t="str">
        <x:v>QR-FE-A-010</x:v>
      </x:c>
    </x:row>
    <x:row r="15" ht="24" customHeight="1">
      <x:c r="A15" s="35" t="str">
        <x:v>FE-A-011</x:v>
      </x:c>
      <x:c r="B15" s="35" t="str">
        <x:v>EXTINGUISHER</x:v>
      </x:c>
      <x:c r="C15" s="35" t="str">
        <x:v>CO2</x:v>
      </x:c>
      <x:c r="D15" s="35" t="str">
        <x:v>DEP-UTIL</x:v>
      </x:c>
      <x:c r="E15" s="35" t="str">
        <x:v>ZN-U01</x:v>
      </x:c>
      <x:c r="F15" s="35" t="str">
        <x:v>Compressor room</x:v>
      </x:c>
      <x:c r="G15" s="35" t="str">
        <x:v>10 kg</x:v>
      </x:c>
      <x:c r="H15" s="43" t="n">
        <x:v>44805</x:v>
      </x:c>
      <x:c r="I15" s="43" t="n">
        <x:v>46280</x:v>
      </x:c>
      <x:c r="J15" s="43" t="n">
        <x:v>46235</x:v>
      </x:c>
      <x:c r="K15" s="43" t="n">
        <x:v>46249</x:v>
      </x:c>
      <x:c r="L15" s="35" t="str">
        <x:v>ACTION_REQUIRED</x:v>
      </x:c>
      <x:c r="M15" s="35" t="str">
        <x:v>Certified Fire Vendor</x:v>
      </x:c>
      <x:c r="N15" s="35" t="str">
        <x:v>QR-FE-A-011</x:v>
      </x:c>
    </x:row>
    <x:row r="16" ht="24" customHeight="1">
      <x:c r="A16" s="35" t="str">
        <x:v>FE-A-012</x:v>
      </x:c>
      <x:c r="B16" s="35" t="str">
        <x:v>EXTINGUISHER</x:v>
      </x:c>
      <x:c r="C16" s="35" t="str">
        <x:v>DRY_POWDER</x:v>
      </x:c>
      <x:c r="D16" s="35" t="str">
        <x:v>DEP-PROD-B</x:v>
      </x:c>
      <x:c r="E16" s="35" t="str">
        <x:v>ZN-B2</x:v>
      </x:c>
      <x:c r="F16" s="35" t="str">
        <x:v>Cooling area</x:v>
      </x:c>
      <x:c r="G16" s="35" t="str">
        <x:v>6 kg</x:v>
      </x:c>
      <x:c r="H16" s="43" t="n">
        <x:v>45047</x:v>
      </x:c>
      <x:c r="I16" s="43" t="n">
        <x:v>46508</x:v>
      </x:c>
      <x:c r="J16" s="43" t="n">
        <x:v>46238</x:v>
      </x:c>
      <x:c r="K16" s="43" t="n">
        <x:v>46269</x:v>
      </x:c>
      <x:c r="L16" s="35" t="str">
        <x:v>VALID</x:v>
      </x:c>
      <x:c r="M16" s="35" t="str">
        <x:v>Certified Fire Vendor</x:v>
      </x:c>
      <x:c r="N16" s="35" t="str">
        <x:v>QR-FE-A-012</x:v>
      </x:c>
    </x:row>
    <x:row r="17" ht="24" customHeight="1">
      <x:c r="A17" s="35" t="str">
        <x:v>FE-A-013</x:v>
      </x:c>
      <x:c r="B17" s="35" t="str">
        <x:v>EXTINGUISHER</x:v>
      </x:c>
      <x:c r="C17" s="35" t="str">
        <x:v>DRY_POWDER</x:v>
      </x:c>
      <x:c r="D17" s="35" t="str">
        <x:v>DEP-MAINT</x:v>
      </x:c>
      <x:c r="E17" s="35" t="str">
        <x:v>ZN-M01</x:v>
      </x:c>
      <x:c r="F17" s="35" t="str">
        <x:v>Tool cabinet</x:v>
      </x:c>
      <x:c r="G17" s="35" t="str">
        <x:v>6 kg</x:v>
      </x:c>
      <x:c r="H17" s="43" t="n">
        <x:v>44986</x:v>
      </x:c>
      <x:c r="I17" s="43" t="n">
        <x:v>46447</x:v>
      </x:c>
      <x:c r="J17" s="43" t="n">
        <x:v>46239</x:v>
      </x:c>
      <x:c r="K17" s="43" t="n">
        <x:v>46270</x:v>
      </x:c>
      <x:c r="L17" s="35" t="str">
        <x:v>VALID</x:v>
      </x:c>
      <x:c r="M17" s="35" t="str">
        <x:v>Certified Fire Vendor</x:v>
      </x:c>
      <x:c r="N17" s="35" t="str">
        <x:v>QR-FE-A-013</x:v>
      </x:c>
    </x:row>
    <x:row r="18" ht="24" customHeight="1">
      <x:c r="A18" s="35" t="str">
        <x:v>FE-A-014</x:v>
      </x:c>
      <x:c r="B18" s="35" t="str">
        <x:v>EXTINGUISHER</x:v>
      </x:c>
      <x:c r="C18" s="35" t="str">
        <x:v>DRY_POWDER</x:v>
      </x:c>
      <x:c r="D18" s="35" t="str">
        <x:v>DEP-PROD-A</x:v>
      </x:c>
      <x:c r="E18" s="35" t="str">
        <x:v>ZN-A1</x:v>
      </x:c>
      <x:c r="F18" s="35" t="str">
        <x:v>Column 4 near cutter 3</x:v>
      </x:c>
      <x:c r="G18" s="35" t="str">
        <x:v>6 kg</x:v>
      </x:c>
      <x:c r="H18" s="43" t="n">
        <x:v>44760</x:v>
      </x:c>
      <x:c r="I18" s="43" t="n">
        <x:v>46221</x:v>
      </x:c>
      <x:c r="J18" s="43" t="n">
        <x:v>46242</x:v>
      </x:c>
      <x:c r="K18" s="43" t="n">
        <x:v>46247</x:v>
      </x:c>
      <x:c r="L18" s="35" t="str">
        <x:v>EXPIRED</x:v>
      </x:c>
      <x:c r="M18" s="35" t="str">
        <x:v>Certified Fire Vendor</x:v>
      </x:c>
      <x:c r="N18" s="35" t="str">
        <x:v>QR-FE-A-014</x:v>
      </x:c>
    </x:row>
    <x:row r="19" ht="24" customHeight="1">
      <x:c r="A19" s="35" t="str">
        <x:v>FE-A-015</x:v>
      </x:c>
      <x:c r="B19" s="35" t="str">
        <x:v>EXTINGUISHER</x:v>
      </x:c>
      <x:c r="C19" s="35" t="str">
        <x:v>DRY_POWDER</x:v>
      </x:c>
      <x:c r="D19" s="35" t="str">
        <x:v>DEP-PROD-B</x:v>
      </x:c>
      <x:c r="E19" s="35" t="str">
        <x:v>ZN-B1</x:v>
      </x:c>
      <x:c r="F19" s="35" t="str">
        <x:v>Shift office</x:v>
      </x:c>
      <x:c r="G19" s="35" t="str">
        <x:v>6 kg</x:v>
      </x:c>
      <x:c r="H19" s="43" t="n">
        <x:v>44927</x:v>
      </x:c>
      <x:c r="I19" s="43" t="n">
        <x:v>46388</x:v>
      </x:c>
      <x:c r="J19" s="43" t="n">
        <x:v>46239</x:v>
      </x:c>
      <x:c r="K19" s="43" t="n">
        <x:v>46270</x:v>
      </x:c>
      <x:c r="L19" s="35" t="str">
        <x:v>VALID</x:v>
      </x:c>
      <x:c r="M19" s="35" t="str">
        <x:v>Certified Fire Vendor</x:v>
      </x:c>
      <x:c r="N19" s="35" t="str">
        <x:v>QR-FE-A-015</x:v>
      </x:c>
    </x:row>
    <x:row r="20" ht="24" customHeight="1">
      <x:c r="A20" s="38" t="str">
        <x:v>FE-A-016</x:v>
      </x:c>
      <x:c r="B20" s="38" t="str">
        <x:v>EXTINGUISHER</x:v>
      </x:c>
      <x:c r="C20" s="38" t="str">
        <x:v>FOAM</x:v>
      </x:c>
      <x:c r="D20" s="38" t="str">
        <x:v>DEP-WH</x:v>
      </x:c>
      <x:c r="E20" s="38" t="str">
        <x:v>ZN-W02</x:v>
      </x:c>
      <x:c r="F20" s="38" t="str">
        <x:v>Loading area</x:v>
      </x:c>
      <x:c r="G20" s="38" t="str">
        <x:v>9 L</x:v>
      </x:c>
      <x:c r="H20" s="44" t="n">
        <x:v>45078</x:v>
      </x:c>
      <x:c r="I20" s="44" t="n">
        <x:v>46539</x:v>
      </x:c>
      <x:c r="J20" s="44" t="n">
        <x:v>46240</x:v>
      </x:c>
      <x:c r="K20" s="44" t="n">
        <x:v>46271</x:v>
      </x:c>
      <x:c r="L20" s="38" t="str">
        <x:v>VALID</x:v>
      </x:c>
      <x:c r="M20" s="38" t="str">
        <x:v>Certified Fire Vendor</x:v>
      </x:c>
      <x:c r="N20" s="38" t="str">
        <x:v>QR-FE-A-016</x:v>
      </x:c>
    </x:row>
  </x:sheetData>
  <x:mergeCells>
    <x:mergeCell ref="A1:N1"/>
    <x:mergeCell ref="A2:N2"/>
  </x:mergeCells>
  <x:conditionalFormatting sqref="L5:L20">
    <x:cfRule type="containsText" dxfId="198" priority="1" operator="containsText" text="CRITICAL"/>
    <x:cfRule type="containsText" dxfId="199" priority="2" operator="containsText" text="EXPIRED"/>
    <x:cfRule type="containsText" dxfId="200" priority="3" operator="containsText" text="FAILED"/>
    <x:cfRule type="containsText" dxfId="201" priority="4" operator="containsText" text="OVERDUE"/>
    <x:cfRule type="containsText" dxfId="202" priority="5" operator="containsText" text="REJECTED"/>
    <x:cfRule type="containsText" dxfId="203" priority="6" operator="containsText" text="OUT_OF_SERVICE"/>
    <x:cfRule type="containsText" dxfId="204" priority="7" operator="containsText" text="BELOW_THRESHOLD"/>
    <x:cfRule type="containsText" dxfId="205" priority="8" operator="containsText" text="HIGH"/>
    <x:cfRule type="containsText" dxfId="206" priority="9" operator="containsText" text="WARNING"/>
    <x:cfRule type="containsText" dxfId="207" priority="10" operator="containsText" text="DUE_SOON"/>
    <x:cfRule type="containsText" dxfId="208" priority="11" operator="containsText" text="OPEN"/>
    <x:cfRule type="containsText" dxfId="209" priority="12" operator="containsText" text="PENDING"/>
    <x:cfRule type="containsText" dxfId="210" priority="13" operator="containsText" text="SUSPENDED"/>
    <x:cfRule type="containsText" dxfId="211" priority="14" operator="containsText" text="TESTING"/>
    <x:cfRule type="containsText" dxfId="212" priority="15" operator="containsText" text="PARTIAL_FAILURE"/>
    <x:cfRule type="containsText" dxfId="213" priority="16" operator="containsText" text="LOW_STOCK"/>
    <x:cfRule type="containsText" dxfId="214" priority="17" operator="containsText" text="ACTIVE"/>
    <x:cfRule type="containsText" dxfId="215" priority="18" operator="containsText" text="VALID"/>
    <x:cfRule type="containsText" dxfId="216" priority="19" operator="containsText" text="SUCCESS"/>
    <x:cfRule type="containsText" dxfId="217" priority="20" operator="containsText" text="COMPLETED"/>
    <x:cfRule type="containsText" dxfId="218" priority="21" operator="containsText" text="CLOSED"/>
    <x:cfRule type="containsText" dxfId="219" priority="22" operator="containsText" text="CONNECTED"/>
    <x:cfRule type="containsText" dxfId="220" priority="23" operator="containsText" text="NORMAL"/>
    <x:cfRule type="containsText" dxfId="221" priority="24" operator="containsText" text="VERIFIED"/>
    <x:cfRule type="containsText" dxfId="222" priority="25" operator="containsText" text="RESOLVED"/>
    <x:cfRule type="containsText" dxfId="223" priority="26" operator="containsText" text="PASS"/>
    <x:cfRule type="containsText" dxfId="224" priority="27" operator="containsText" text="OK"/>
    <x:cfRule type="containsText" dxfId="225" priority="28" operator="containsText" text="INFO"/>
    <x:cfRule type="containsText" dxfId="226" priority="29" operator="containsText" text="DRAFT"/>
    <x:cfRule type="containsText" dxfId="227" priority="30" operator="containsText" text="SCHEDULED"/>
    <x:cfRule type="containsText" dxfId="228" priority="31" operator="containsText" text="IN_PROGRESS"/>
    <x:cfRule type="containsText" dxfId="229" priority="32" operator="containsText" text="MODEL_REVIEW"/>
    <x:cfRule type="containsText" dxfId="230" priority="33" operator="containsText" text="READ"/>
  </x:conditionalFormatting>
  <x:dataValidations count="1">
    <x:dataValidation type="list" sqref="L5:L20">
      <x:formula1>"VALID,DUE_SOON,ACTION_REQUIRED,EXPIRED,OUT_OF_SERVICE"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a2fd3d6d464f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8" hidden="0" customWidth="1"/>
    <x:col min="14" max="14" width="18" hidden="0" customWidth="1"/>
    <x:col min="15" max="15" width="13" hidden="0" customWidth="1"/>
    <x:col min="16" max="16" width="18" hidden="0" customWidth="1"/>
  </x:cols>
  <x:sheetData>
    <x:row r="1" ht="32" customHeight="1">
      <x:c r="A1" s="17" t="str">
        <x:v>ESCA HSE | Fire_Inspections</x:v>
      </x:c>
      <x:c r="B1" s="17" t="str">
        <x:v>ESCA HSE | Fire_Inspections</x:v>
      </x:c>
      <x:c r="C1" s="17" t="str">
        <x:v>ESCA HSE | Fire_Inspections</x:v>
      </x:c>
      <x:c r="D1" s="17" t="str">
        <x:v>ESCA HSE | Fire_Inspections</x:v>
      </x:c>
      <x:c r="E1" s="17" t="str">
        <x:v>ESCA HSE | Fire_Inspections</x:v>
      </x:c>
      <x:c r="F1" s="17" t="str">
        <x:v>ESCA HSE | Fire_Inspections</x:v>
      </x:c>
      <x:c r="G1" s="17" t="str">
        <x:v>ESCA HSE | Fire_Inspections</x:v>
      </x:c>
      <x:c r="H1" s="17" t="str">
        <x:v>ESCA HSE | Fire_Inspections</x:v>
      </x:c>
      <x:c r="I1" s="17" t="str">
        <x:v>ESCA HSE | Fire_Inspections</x:v>
      </x:c>
      <x:c r="J1" s="17" t="str">
        <x:v>ESCA HSE | Fire_Inspections</x:v>
      </x:c>
      <x:c r="K1" s="17" t="str">
        <x:v>ESCA HSE | Fire_Inspections</x:v>
      </x:c>
      <x:c r="L1" s="17" t="str">
        <x:v>ESCA HSE | Fire_Inspections</x:v>
      </x:c>
      <x:c r="M1" s="17" t="str">
        <x:v>ESCA HSE | Fire_Inspections</x:v>
      </x:c>
      <x:c r="N1" s="17" t="str">
        <x:v>ESCA HSE | Fire_Inspections</x:v>
      </x:c>
      <x:c r="O1" s="17" t="str">
        <x:v>ESCA HSE | Fire_Inspections</x:v>
      </x:c>
      <x:c r="P1" s="17" t="str">
        <x:v>ESCA HSE | Fire_Inspections</x:v>
      </x:c>
    </x:row>
    <x:row r="2" ht="28" customHeight="1">
      <x:c r="A2" s="21" t="str">
        <x:v>Fire equipment inspection records | Owner: Member 6 | Synthetic sample data | Snapshot: 2026-08-13</x:v>
      </x:c>
      <x:c r="B2" s="21" t="str">
        <x:v>Fire equipment inspection records | Owner: Member 6 | Synthetic sample data | Snapshot: 2026-08-13</x:v>
      </x:c>
      <x:c r="C2" s="21" t="str">
        <x:v>Fire equipment inspection records | Owner: Member 6 | Synthetic sample data | Snapshot: 2026-08-13</x:v>
      </x:c>
      <x:c r="D2" s="21" t="str">
        <x:v>Fire equipment inspection records | Owner: Member 6 | Synthetic sample data | Snapshot: 2026-08-13</x:v>
      </x:c>
      <x:c r="E2" s="21" t="str">
        <x:v>Fire equipment inspection records | Owner: Member 6 | Synthetic sample data | Snapshot: 2026-08-13</x:v>
      </x:c>
      <x:c r="F2" s="21" t="str">
        <x:v>Fire equipment inspection records | Owner: Member 6 | Synthetic sample data | Snapshot: 2026-08-13</x:v>
      </x:c>
      <x:c r="G2" s="21" t="str">
        <x:v>Fire equipment inspection records | Owner: Member 6 | Synthetic sample data | Snapshot: 2026-08-13</x:v>
      </x:c>
      <x:c r="H2" s="21" t="str">
        <x:v>Fire equipment inspection records | Owner: Member 6 | Synthetic sample data | Snapshot: 2026-08-13</x:v>
      </x:c>
      <x:c r="I2" s="21" t="str">
        <x:v>Fire equipment inspection records | Owner: Member 6 | Synthetic sample data | Snapshot: 2026-08-13</x:v>
      </x:c>
      <x:c r="J2" s="21" t="str">
        <x:v>Fire equipment inspection records | Owner: Member 6 | Synthetic sample data | Snapshot: 2026-08-13</x:v>
      </x:c>
      <x:c r="K2" s="21" t="str">
        <x:v>Fire equipment inspection records | Owner: Member 6 | Synthetic sample data | Snapshot: 2026-08-13</x:v>
      </x:c>
      <x:c r="L2" s="21" t="str">
        <x:v>Fire equipment inspection records | Owner: Member 6 | Synthetic sample data | Snapshot: 2026-08-13</x:v>
      </x:c>
      <x:c r="M2" s="21" t="str">
        <x:v>Fire equipment inspection records | Owner: Member 6 | Synthetic sample data | Snapshot: 2026-08-13</x:v>
      </x:c>
      <x:c r="N2" s="21" t="str">
        <x:v>Fire equipment inspection records | Owner: Member 6 | Synthetic sample data | Snapshot: 2026-08-13</x:v>
      </x:c>
      <x:c r="O2" s="21" t="str">
        <x:v>Fire equipment inspection records | Owner: Member 6 | Synthetic sample data | Snapshot: 2026-08-13</x:v>
      </x:c>
      <x:c r="P2" s="21" t="str">
        <x:v>Fire equipment inspection records | Owner: Member 6 | Synthetic sample data | Snapshot: 2026-08-13</x:v>
      </x:c>
    </x:row>
    <x:row r="4" ht="30" customHeight="1">
      <x:c r="A4" s="26" t="str">
        <x:v>fire_inspection_id</x:v>
      </x:c>
      <x:c r="B4" s="26" t="str">
        <x:v>equipment_id</x:v>
      </x:c>
      <x:c r="C4" s="26" t="str">
        <x:v>inspected_at</x:v>
      </x:c>
      <x:c r="D4" s="26" t="str">
        <x:v>inspector_id</x:v>
      </x:c>
      <x:c r="E4" s="26" t="str">
        <x:v>present_flag</x:v>
      </x:c>
      <x:c r="F4" s="26" t="str">
        <x:v>access_clear</x:v>
      </x:c>
      <x:c r="G4" s="26" t="str">
        <x:v>pressure_ok</x:v>
      </x:c>
      <x:c r="H4" s="26" t="str">
        <x:v>hose_ok</x:v>
      </x:c>
      <x:c r="I4" s="26" t="str">
        <x:v>safety_pin_ok</x:v>
      </x:c>
      <x:c r="J4" s="26" t="str">
        <x:v>expiry_valid</x:v>
      </x:c>
      <x:c r="K4" s="26" t="str">
        <x:v>body_ok</x:v>
      </x:c>
      <x:c r="L4" s="26" t="str">
        <x:v>signage_ok</x:v>
      </x:c>
      <x:c r="M4" s="26" t="str">
        <x:v>result</x:v>
      </x:c>
      <x:c r="N4" s="26" t="str">
        <x:v>action_required</x:v>
      </x:c>
      <x:c r="O4" s="26" t="str">
        <x:v>next_due_date</x:v>
      </x:c>
      <x:c r="P4" s="26" t="str">
        <x:v>work_order_id</x:v>
      </x:c>
    </x:row>
    <x:row r="5" ht="24" customHeight="1">
      <x:c r="A5" s="32" t="str">
        <x:v>FINSP-001</x:v>
      </x:c>
      <x:c r="B5" s="32" t="str">
        <x:v>FE-A-001</x:v>
      </x:c>
      <x:c r="C5" s="46" t="n">
        <x:v>46235.25</x:v>
      </x:c>
      <x:c r="D5" s="32" t="str">
        <x:v>EMP-010</x:v>
      </x:c>
      <x:c r="E5" s="34" t="b">
        <x:v>1</x:v>
      </x:c>
      <x:c r="F5" s="34" t="b">
        <x:v>1</x:v>
      </x:c>
      <x:c r="G5" s="34" t="b">
        <x:v>1</x:v>
      </x:c>
      <x:c r="H5" s="34" t="b">
        <x:v>1</x:v>
      </x:c>
      <x:c r="I5" s="34" t="b">
        <x:v>1</x:v>
      </x:c>
      <x:c r="J5" s="34" t="b">
        <x:v>1</x:v>
      </x:c>
      <x:c r="K5" s="34" t="b">
        <x:v>1</x:v>
      </x:c>
      <x:c r="L5" s="34" t="b">
        <x:v>1</x:v>
      </x:c>
      <x:c r="M5" s="32" t="str">
        <x:v>PASS</x:v>
      </x:c>
      <x:c r="N5" s="32" t="str">
        <x:v>NONE</x:v>
      </x:c>
      <x:c r="O5" s="42" t="n">
        <x:v>46266</x:v>
      </x:c>
      <x:c r="P5" s="32"/>
    </x:row>
    <x:row r="6" ht="24" customHeight="1">
      <x:c r="A6" s="35" t="str">
        <x:v>FINSP-002</x:v>
      </x:c>
      <x:c r="B6" s="35" t="str">
        <x:v>FE-A-002</x:v>
      </x:c>
      <x:c r="C6" s="47" t="n">
        <x:v>46236.25</x:v>
      </x:c>
      <x:c r="D6" s="35" t="str">
        <x:v>EMP-011</x:v>
      </x:c>
      <x:c r="E6" s="37" t="b">
        <x:v>1</x:v>
      </x:c>
      <x:c r="F6" s="37" t="b">
        <x:v>1</x:v>
      </x:c>
      <x:c r="G6" s="37" t="b">
        <x:v>1</x:v>
      </x:c>
      <x:c r="H6" s="37" t="b">
        <x:v>1</x:v>
      </x:c>
      <x:c r="I6" s="37" t="b">
        <x:v>1</x:v>
      </x:c>
      <x:c r="J6" s="37" t="b">
        <x:v>1</x:v>
      </x:c>
      <x:c r="K6" s="37" t="b">
        <x:v>1</x:v>
      </x:c>
      <x:c r="L6" s="37" t="b">
        <x:v>1</x:v>
      </x:c>
      <x:c r="M6" s="35" t="str">
        <x:v>PASS</x:v>
      </x:c>
      <x:c r="N6" s="35" t="str">
        <x:v>NONE</x:v>
      </x:c>
      <x:c r="O6" s="43" t="n">
        <x:v>46266</x:v>
      </x:c>
      <x:c r="P6" s="35"/>
    </x:row>
    <x:row r="7" ht="24" customHeight="1">
      <x:c r="A7" s="35" t="str">
        <x:v>FINSP-003</x:v>
      </x:c>
      <x:c r="B7" s="35" t="str">
        <x:v>FE-A-003</x:v>
      </x:c>
      <x:c r="C7" s="47" t="n">
        <x:v>46237.25</x:v>
      </x:c>
      <x:c r="D7" s="35" t="str">
        <x:v>EMP-012</x:v>
      </x:c>
      <x:c r="E7" s="37" t="b">
        <x:v>1</x:v>
      </x:c>
      <x:c r="F7" s="37" t="b">
        <x:v>1</x:v>
      </x:c>
      <x:c r="G7" s="37" t="b">
        <x:v>1</x:v>
      </x:c>
      <x:c r="H7" s="37" t="b">
        <x:v>1</x:v>
      </x:c>
      <x:c r="I7" s="37" t="b">
        <x:v>1</x:v>
      </x:c>
      <x:c r="J7" s="37" t="b">
        <x:v>1</x:v>
      </x:c>
      <x:c r="K7" s="37" t="b">
        <x:v>1</x:v>
      </x:c>
      <x:c r="L7" s="37" t="b">
        <x:v>1</x:v>
      </x:c>
      <x:c r="M7" s="35" t="str">
        <x:v>PASS</x:v>
      </x:c>
      <x:c r="N7" s="35" t="str">
        <x:v>NONE</x:v>
      </x:c>
      <x:c r="O7" s="43" t="n">
        <x:v>46266</x:v>
      </x:c>
      <x:c r="P7" s="35"/>
    </x:row>
    <x:row r="8" ht="24" customHeight="1">
      <x:c r="A8" s="35" t="str">
        <x:v>FINSP-004</x:v>
      </x:c>
      <x:c r="B8" s="35" t="str">
        <x:v>FE-A-004</x:v>
      </x:c>
      <x:c r="C8" s="47" t="n">
        <x:v>46238.25</x:v>
      </x:c>
      <x:c r="D8" s="35" t="str">
        <x:v>EMP-010</x:v>
      </x:c>
      <x:c r="E8" s="37" t="b">
        <x:v>1</x:v>
      </x:c>
      <x:c r="F8" s="37" t="b">
        <x:v>1</x:v>
      </x:c>
      <x:c r="G8" s="37" t="b">
        <x:v>1</x:v>
      </x:c>
      <x:c r="H8" s="37" t="b">
        <x:v>1</x:v>
      </x:c>
      <x:c r="I8" s="37" t="b">
        <x:v>1</x:v>
      </x:c>
      <x:c r="J8" s="37" t="b">
        <x:v>1</x:v>
      </x:c>
      <x:c r="K8" s="37" t="b">
        <x:v>1</x:v>
      </x:c>
      <x:c r="L8" s="37" t="b">
        <x:v>1</x:v>
      </x:c>
      <x:c r="M8" s="35" t="str">
        <x:v>PASS</x:v>
      </x:c>
      <x:c r="N8" s="35" t="str">
        <x:v>NONE</x:v>
      </x:c>
      <x:c r="O8" s="43" t="n">
        <x:v>46266</x:v>
      </x:c>
      <x:c r="P8" s="35"/>
    </x:row>
    <x:row r="9" ht="24" customHeight="1">
      <x:c r="A9" s="35" t="str">
        <x:v>FINSP-005</x:v>
      </x:c>
      <x:c r="B9" s="35" t="str">
        <x:v>FE-A-005</x:v>
      </x:c>
      <x:c r="C9" s="47" t="n">
        <x:v>46239.25</x:v>
      </x:c>
      <x:c r="D9" s="35" t="str">
        <x:v>EMP-011</x:v>
      </x:c>
      <x:c r="E9" s="37" t="b">
        <x:v>1</x:v>
      </x:c>
      <x:c r="F9" s="37" t="b">
        <x:v>1</x:v>
      </x:c>
      <x:c r="G9" s="37" t="b">
        <x:v>1</x:v>
      </x:c>
      <x:c r="H9" s="37" t="b">
        <x:v>1</x:v>
      </x:c>
      <x:c r="I9" s="37" t="b">
        <x:v>1</x:v>
      </x:c>
      <x:c r="J9" s="37" t="b">
        <x:v>1</x:v>
      </x:c>
      <x:c r="K9" s="37" t="b">
        <x:v>1</x:v>
      </x:c>
      <x:c r="L9" s="37" t="b">
        <x:v>1</x:v>
      </x:c>
      <x:c r="M9" s="35" t="str">
        <x:v>PASS</x:v>
      </x:c>
      <x:c r="N9" s="35" t="str">
        <x:v>NONE</x:v>
      </x:c>
      <x:c r="O9" s="43" t="n">
        <x:v>46266</x:v>
      </x:c>
      <x:c r="P9" s="35"/>
    </x:row>
    <x:row r="10" ht="24" customHeight="1">
      <x:c r="A10" s="35" t="str">
        <x:v>FINSP-006</x:v>
      </x:c>
      <x:c r="B10" s="35" t="str">
        <x:v>FE-A-006</x:v>
      </x:c>
      <x:c r="C10" s="47" t="n">
        <x:v>46240.25</x:v>
      </x:c>
      <x:c r="D10" s="35" t="str">
        <x:v>EMP-012</x:v>
      </x:c>
      <x:c r="E10" s="37" t="b">
        <x:v>1</x:v>
      </x:c>
      <x:c r="F10" s="37" t="b">
        <x:v>1</x:v>
      </x:c>
      <x:c r="G10" s="37" t="b">
        <x:v>1</x:v>
      </x:c>
      <x:c r="H10" s="37" t="b">
        <x:v>1</x:v>
      </x:c>
      <x:c r="I10" s="37" t="b">
        <x:v>1</x:v>
      </x:c>
      <x:c r="J10" s="37" t="b">
        <x:v>1</x:v>
      </x:c>
      <x:c r="K10" s="37" t="b">
        <x:v>1</x:v>
      </x:c>
      <x:c r="L10" s="37" t="b">
        <x:v>1</x:v>
      </x:c>
      <x:c r="M10" s="35" t="str">
        <x:v>PASS</x:v>
      </x:c>
      <x:c r="N10" s="35" t="str">
        <x:v>NONE</x:v>
      </x:c>
      <x:c r="O10" s="43" t="n">
        <x:v>46266</x:v>
      </x:c>
      <x:c r="P10" s="35"/>
    </x:row>
    <x:row r="11" ht="24" customHeight="1">
      <x:c r="A11" s="35" t="str">
        <x:v>FINSP-007</x:v>
      </x:c>
      <x:c r="B11" s="35" t="str">
        <x:v>FE-A-007</x:v>
      </x:c>
      <x:c r="C11" s="47" t="n">
        <x:v>46241.25</x:v>
      </x:c>
      <x:c r="D11" s="35" t="str">
        <x:v>EMP-010</x:v>
      </x:c>
      <x:c r="E11" s="37" t="b">
        <x:v>1</x:v>
      </x:c>
      <x:c r="F11" s="37" t="b">
        <x:v>1</x:v>
      </x:c>
      <x:c r="G11" s="37" t="b">
        <x:v>1</x:v>
      </x:c>
      <x:c r="H11" s="37" t="b">
        <x:v>1</x:v>
      </x:c>
      <x:c r="I11" s="37" t="b">
        <x:v>1</x:v>
      </x:c>
      <x:c r="J11" s="37" t="b">
        <x:v>1</x:v>
      </x:c>
      <x:c r="K11" s="37" t="b">
        <x:v>1</x:v>
      </x:c>
      <x:c r="L11" s="37" t="b">
        <x:v>0</x:v>
      </x:c>
      <x:c r="M11" s="35" t="str">
        <x:v>PASS_WITH_ACTION</x:v>
      </x:c>
      <x:c r="N11" s="35" t="str">
        <x:v>PLAN_REPLACEMENT</x:v>
      </x:c>
      <x:c r="O11" s="43" t="n">
        <x:v>46254</x:v>
      </x:c>
      <x:c r="P11" s="35"/>
    </x:row>
    <x:row r="12" ht="24" customHeight="1">
      <x:c r="A12" s="35" t="str">
        <x:v>FINSP-008</x:v>
      </x:c>
      <x:c r="B12" s="35" t="str">
        <x:v>FE-A-008</x:v>
      </x:c>
      <x:c r="C12" s="47" t="n">
        <x:v>46242.25</x:v>
      </x:c>
      <x:c r="D12" s="35" t="str">
        <x:v>EMP-011</x:v>
      </x:c>
      <x:c r="E12" s="37" t="b">
        <x:v>1</x:v>
      </x:c>
      <x:c r="F12" s="37" t="b">
        <x:v>1</x:v>
      </x:c>
      <x:c r="G12" s="37" t="b">
        <x:v>1</x:v>
      </x:c>
      <x:c r="H12" s="37" t="b">
        <x:v>1</x:v>
      </x:c>
      <x:c r="I12" s="37" t="b">
        <x:v>1</x:v>
      </x:c>
      <x:c r="J12" s="37" t="b">
        <x:v>1</x:v>
      </x:c>
      <x:c r="K12" s="37" t="b">
        <x:v>1</x:v>
      </x:c>
      <x:c r="L12" s="37" t="b">
        <x:v>1</x:v>
      </x:c>
      <x:c r="M12" s="35" t="str">
        <x:v>PASS</x:v>
      </x:c>
      <x:c r="N12" s="35" t="str">
        <x:v>NONE</x:v>
      </x:c>
      <x:c r="O12" s="43" t="n">
        <x:v>46267</x:v>
      </x:c>
      <x:c r="P12" s="35"/>
    </x:row>
    <x:row r="13" ht="24" customHeight="1">
      <x:c r="A13" s="35" t="str">
        <x:v>FINSP-009</x:v>
      </x:c>
      <x:c r="B13" s="35" t="str">
        <x:v>FE-A-009</x:v>
      </x:c>
      <x:c r="C13" s="47" t="n">
        <x:v>46235.25</x:v>
      </x:c>
      <x:c r="D13" s="35" t="str">
        <x:v>EMP-012</x:v>
      </x:c>
      <x:c r="E13" s="37" t="b">
        <x:v>1</x:v>
      </x:c>
      <x:c r="F13" s="37" t="b">
        <x:v>1</x:v>
      </x:c>
      <x:c r="G13" s="37" t="b">
        <x:v>1</x:v>
      </x:c>
      <x:c r="H13" s="37" t="b">
        <x:v>1</x:v>
      </x:c>
      <x:c r="I13" s="37" t="b">
        <x:v>1</x:v>
      </x:c>
      <x:c r="J13" s="37" t="b">
        <x:v>1</x:v>
      </x:c>
      <x:c r="K13" s="37" t="b">
        <x:v>1</x:v>
      </x:c>
      <x:c r="L13" s="37" t="b">
        <x:v>1</x:v>
      </x:c>
      <x:c r="M13" s="35" t="str">
        <x:v>PASS</x:v>
      </x:c>
      <x:c r="N13" s="35" t="str">
        <x:v>NONE</x:v>
      </x:c>
      <x:c r="O13" s="43" t="n">
        <x:v>46268</x:v>
      </x:c>
      <x:c r="P13" s="35"/>
    </x:row>
    <x:row r="14" ht="24" customHeight="1">
      <x:c r="A14" s="35" t="str">
        <x:v>FINSP-010</x:v>
      </x:c>
      <x:c r="B14" s="35" t="str">
        <x:v>FE-A-010</x:v>
      </x:c>
      <x:c r="C14" s="47" t="n">
        <x:v>46236.25</x:v>
      </x:c>
      <x:c r="D14" s="35" t="str">
        <x:v>EMP-010</x:v>
      </x:c>
      <x:c r="E14" s="37" t="b">
        <x:v>1</x:v>
      </x:c>
      <x:c r="F14" s="37" t="b">
        <x:v>1</x:v>
      </x:c>
      <x:c r="G14" s="37" t="b">
        <x:v>1</x:v>
      </x:c>
      <x:c r="H14" s="37" t="b">
        <x:v>1</x:v>
      </x:c>
      <x:c r="I14" s="37" t="b">
        <x:v>1</x:v>
      </x:c>
      <x:c r="J14" s="37" t="b">
        <x:v>1</x:v>
      </x:c>
      <x:c r="K14" s="37" t="b">
        <x:v>1</x:v>
      </x:c>
      <x:c r="L14" s="37" t="b">
        <x:v>1</x:v>
      </x:c>
      <x:c r="M14" s="35" t="str">
        <x:v>PASS</x:v>
      </x:c>
      <x:c r="N14" s="35" t="str">
        <x:v>NONE</x:v>
      </x:c>
      <x:c r="O14" s="43" t="n">
        <x:v>46268</x:v>
      </x:c>
      <x:c r="P14" s="35"/>
    </x:row>
    <x:row r="15" ht="24" customHeight="1">
      <x:c r="A15" s="35" t="str">
        <x:v>FINSP-011</x:v>
      </x:c>
      <x:c r="B15" s="35" t="str">
        <x:v>FE-A-011</x:v>
      </x:c>
      <x:c r="C15" s="47" t="n">
        <x:v>46237.25</x:v>
      </x:c>
      <x:c r="D15" s="35" t="str">
        <x:v>EMP-011</x:v>
      </x:c>
      <x:c r="E15" s="37" t="b">
        <x:v>1</x:v>
      </x:c>
      <x:c r="F15" s="37" t="b">
        <x:v>0</x:v>
      </x:c>
      <x:c r="G15" s="37" t="b">
        <x:v>1</x:v>
      </x:c>
      <x:c r="H15" s="37" t="b">
        <x:v>1</x:v>
      </x:c>
      <x:c r="I15" s="37" t="b">
        <x:v>1</x:v>
      </x:c>
      <x:c r="J15" s="37" t="b">
        <x:v>1</x:v>
      </x:c>
      <x:c r="K15" s="37" t="b">
        <x:v>1</x:v>
      </x:c>
      <x:c r="L15" s="37" t="b">
        <x:v>1</x:v>
      </x:c>
      <x:c r="M15" s="35" t="str">
        <x:v>FAIL</x:v>
      </x:c>
      <x:c r="N15" s="35" t="str">
        <x:v>IMMEDIATE_REPLACEMENT</x:v>
      </x:c>
      <x:c r="O15" s="43" t="n">
        <x:v>46249</x:v>
      </x:c>
      <x:c r="P15" s="35" t="str">
        <x:v>WO-2026-0342</x:v>
      </x:c>
    </x:row>
    <x:row r="16" ht="24" customHeight="1">
      <x:c r="A16" s="35" t="str">
        <x:v>FINSP-012</x:v>
      </x:c>
      <x:c r="B16" s="35" t="str">
        <x:v>FE-A-012</x:v>
      </x:c>
      <x:c r="C16" s="47" t="n">
        <x:v>46238.25</x:v>
      </x:c>
      <x:c r="D16" s="35" t="str">
        <x:v>EMP-012</x:v>
      </x:c>
      <x:c r="E16" s="37" t="b">
        <x:v>1</x:v>
      </x:c>
      <x:c r="F16" s="37" t="b">
        <x:v>1</x:v>
      </x:c>
      <x:c r="G16" s="37" t="b">
        <x:v>1</x:v>
      </x:c>
      <x:c r="H16" s="37" t="b">
        <x:v>1</x:v>
      </x:c>
      <x:c r="I16" s="37" t="b">
        <x:v>1</x:v>
      </x:c>
      <x:c r="J16" s="37" t="b">
        <x:v>1</x:v>
      </x:c>
      <x:c r="K16" s="37" t="b">
        <x:v>1</x:v>
      </x:c>
      <x:c r="L16" s="37" t="b">
        <x:v>1</x:v>
      </x:c>
      <x:c r="M16" s="35" t="str">
        <x:v>PASS</x:v>
      </x:c>
      <x:c r="N16" s="35" t="str">
        <x:v>NONE</x:v>
      </x:c>
      <x:c r="O16" s="43" t="n">
        <x:v>46269</x:v>
      </x:c>
      <x:c r="P16" s="35"/>
    </x:row>
    <x:row r="17" ht="24" customHeight="1">
      <x:c r="A17" s="35" t="str">
        <x:v>FINSP-013</x:v>
      </x:c>
      <x:c r="B17" s="35" t="str">
        <x:v>FE-A-013</x:v>
      </x:c>
      <x:c r="C17" s="47" t="n">
        <x:v>46239.25</x:v>
      </x:c>
      <x:c r="D17" s="35" t="str">
        <x:v>EMP-010</x:v>
      </x:c>
      <x:c r="E17" s="37" t="b">
        <x:v>1</x:v>
      </x:c>
      <x:c r="F17" s="37" t="b">
        <x:v>1</x:v>
      </x:c>
      <x:c r="G17" s="37" t="b">
        <x:v>1</x:v>
      </x:c>
      <x:c r="H17" s="37" t="b">
        <x:v>1</x:v>
      </x:c>
      <x:c r="I17" s="37" t="b">
        <x:v>1</x:v>
      </x:c>
      <x:c r="J17" s="37" t="b">
        <x:v>1</x:v>
      </x:c>
      <x:c r="K17" s="37" t="b">
        <x:v>1</x:v>
      </x:c>
      <x:c r="L17" s="37" t="b">
        <x:v>1</x:v>
      </x:c>
      <x:c r="M17" s="35" t="str">
        <x:v>PASS</x:v>
      </x:c>
      <x:c r="N17" s="35" t="str">
        <x:v>NONE</x:v>
      </x:c>
      <x:c r="O17" s="43" t="n">
        <x:v>46270</x:v>
      </x:c>
      <x:c r="P17" s="35"/>
    </x:row>
    <x:row r="18" ht="24" customHeight="1">
      <x:c r="A18" s="35" t="str">
        <x:v>FINSP-014</x:v>
      </x:c>
      <x:c r="B18" s="35" t="str">
        <x:v>FE-A-014</x:v>
      </x:c>
      <x:c r="C18" s="47" t="n">
        <x:v>46240.25</x:v>
      </x:c>
      <x:c r="D18" s="35" t="str">
        <x:v>EMP-011</x:v>
      </x:c>
      <x:c r="E18" s="37" t="b">
        <x:v>1</x:v>
      </x:c>
      <x:c r="F18" s="37" t="b">
        <x:v>1</x:v>
      </x:c>
      <x:c r="G18" s="37" t="b">
        <x:v>0</x:v>
      </x:c>
      <x:c r="H18" s="37" t="b">
        <x:v>1</x:v>
      </x:c>
      <x:c r="I18" s="37" t="b">
        <x:v>1</x:v>
      </x:c>
      <x:c r="J18" s="37" t="b">
        <x:v>0</x:v>
      </x:c>
      <x:c r="K18" s="37" t="b">
        <x:v>1</x:v>
      </x:c>
      <x:c r="L18" s="37" t="b">
        <x:v>1</x:v>
      </x:c>
      <x:c r="M18" s="35" t="str">
        <x:v>FAIL</x:v>
      </x:c>
      <x:c r="N18" s="35" t="str">
        <x:v>IMMEDIATE_REPLACEMENT</x:v>
      </x:c>
      <x:c r="O18" s="43" t="n">
        <x:v>46247</x:v>
      </x:c>
      <x:c r="P18" s="35" t="str">
        <x:v>WO-2026-0341</x:v>
      </x:c>
    </x:row>
    <x:row r="19" ht="24" customHeight="1">
      <x:c r="A19" s="35" t="str">
        <x:v>FINSP-015</x:v>
      </x:c>
      <x:c r="B19" s="35" t="str">
        <x:v>FE-A-015</x:v>
      </x:c>
      <x:c r="C19" s="47" t="n">
        <x:v>46241.25</x:v>
      </x:c>
      <x:c r="D19" s="35" t="str">
        <x:v>EMP-012</x:v>
      </x:c>
      <x:c r="E19" s="37" t="b">
        <x:v>1</x:v>
      </x:c>
      <x:c r="F19" s="37" t="b">
        <x:v>1</x:v>
      </x:c>
      <x:c r="G19" s="37" t="b">
        <x:v>1</x:v>
      </x:c>
      <x:c r="H19" s="37" t="b">
        <x:v>1</x:v>
      </x:c>
      <x:c r="I19" s="37" t="b">
        <x:v>1</x:v>
      </x:c>
      <x:c r="J19" s="37" t="b">
        <x:v>1</x:v>
      </x:c>
      <x:c r="K19" s="37" t="b">
        <x:v>1</x:v>
      </x:c>
      <x:c r="L19" s="37" t="b">
        <x:v>1</x:v>
      </x:c>
      <x:c r="M19" s="35" t="str">
        <x:v>PASS</x:v>
      </x:c>
      <x:c r="N19" s="35" t="str">
        <x:v>NONE</x:v>
      </x:c>
      <x:c r="O19" s="43" t="n">
        <x:v>46270</x:v>
      </x:c>
      <x:c r="P19" s="35"/>
    </x:row>
    <x:row r="20" ht="24" customHeight="1">
      <x:c r="A20" s="38" t="str">
        <x:v>FINSP-016</x:v>
      </x:c>
      <x:c r="B20" s="38" t="str">
        <x:v>FE-A-016</x:v>
      </x:c>
      <x:c r="C20" s="48" t="n">
        <x:v>46242.25</x:v>
      </x:c>
      <x:c r="D20" s="38" t="str">
        <x:v>EMP-010</x:v>
      </x:c>
      <x:c r="E20" s="40" t="b">
        <x:v>1</x:v>
      </x:c>
      <x:c r="F20" s="40" t="b">
        <x:v>1</x:v>
      </x:c>
      <x:c r="G20" s="40" t="b">
        <x:v>1</x:v>
      </x:c>
      <x:c r="H20" s="40" t="b">
        <x:v>1</x:v>
      </x:c>
      <x:c r="I20" s="40" t="b">
        <x:v>1</x:v>
      </x:c>
      <x:c r="J20" s="40" t="b">
        <x:v>1</x:v>
      </x:c>
      <x:c r="K20" s="40" t="b">
        <x:v>1</x:v>
      </x:c>
      <x:c r="L20" s="40" t="b">
        <x:v>1</x:v>
      </x:c>
      <x:c r="M20" s="38" t="str">
        <x:v>PASS</x:v>
      </x:c>
      <x:c r="N20" s="38" t="str">
        <x:v>NONE</x:v>
      </x:c>
      <x:c r="O20" s="44" t="n">
        <x:v>46271</x:v>
      </x:c>
      <x:c r="P20" s="38"/>
    </x:row>
  </x:sheetData>
  <x:mergeCells>
    <x:mergeCell ref="A1:P1"/>
    <x:mergeCell ref="A2:P2"/>
  </x:mergeCells>
  <x:conditionalFormatting sqref="E5:E20">
    <x:cfRule type="containsText" dxfId="231" priority="1" operator="containsText" text="CRITICAL"/>
    <x:cfRule type="containsText" dxfId="232" priority="2" operator="containsText" text="EXPIRED"/>
    <x:cfRule type="containsText" dxfId="233" priority="3" operator="containsText" text="FAILED"/>
    <x:cfRule type="containsText" dxfId="234" priority="4" operator="containsText" text="OVERDUE"/>
    <x:cfRule type="containsText" dxfId="235" priority="5" operator="containsText" text="REJECTED"/>
    <x:cfRule type="containsText" dxfId="236" priority="6" operator="containsText" text="OUT_OF_SERVICE"/>
    <x:cfRule type="containsText" dxfId="237" priority="7" operator="containsText" text="BELOW_THRESHOLD"/>
    <x:cfRule type="containsText" dxfId="238" priority="8" operator="containsText" text="HIGH"/>
    <x:cfRule type="containsText" dxfId="239" priority="9" operator="containsText" text="WARNING"/>
    <x:cfRule type="containsText" dxfId="240" priority="10" operator="containsText" text="DUE_SOON"/>
    <x:cfRule type="containsText" dxfId="241" priority="11" operator="containsText" text="OPEN"/>
    <x:cfRule type="containsText" dxfId="242" priority="12" operator="containsText" text="PENDING"/>
    <x:cfRule type="containsText" dxfId="243" priority="13" operator="containsText" text="SUSPENDED"/>
    <x:cfRule type="containsText" dxfId="244" priority="14" operator="containsText" text="TESTING"/>
    <x:cfRule type="containsText" dxfId="245" priority="15" operator="containsText" text="PARTIAL_FAILURE"/>
    <x:cfRule type="containsText" dxfId="246" priority="16" operator="containsText" text="LOW_STOCK"/>
    <x:cfRule type="containsText" dxfId="247" priority="17" operator="containsText" text="ACTIVE"/>
    <x:cfRule type="containsText" dxfId="248" priority="18" operator="containsText" text="VALID"/>
    <x:cfRule type="containsText" dxfId="249" priority="19" operator="containsText" text="SUCCESS"/>
    <x:cfRule type="containsText" dxfId="250" priority="20" operator="containsText" text="COMPLETED"/>
    <x:cfRule type="containsText" dxfId="251" priority="21" operator="containsText" text="CLOSED"/>
    <x:cfRule type="containsText" dxfId="252" priority="22" operator="containsText" text="CONNECTED"/>
    <x:cfRule type="containsText" dxfId="253" priority="23" operator="containsText" text="NORMAL"/>
    <x:cfRule type="containsText" dxfId="254" priority="24" operator="containsText" text="VERIFIED"/>
    <x:cfRule type="containsText" dxfId="255" priority="25" operator="containsText" text="RESOLVED"/>
    <x:cfRule type="containsText" dxfId="256" priority="26" operator="containsText" text="PASS"/>
    <x:cfRule type="containsText" dxfId="257" priority="27" operator="containsText" text="OK"/>
    <x:cfRule type="containsText" dxfId="258" priority="28" operator="containsText" text="INFO"/>
    <x:cfRule type="containsText" dxfId="259" priority="29" operator="containsText" text="DRAFT"/>
    <x:cfRule type="containsText" dxfId="260" priority="30" operator="containsText" text="SCHEDULED"/>
    <x:cfRule type="containsText" dxfId="261" priority="31" operator="containsText" text="IN_PROGRESS"/>
    <x:cfRule type="containsText" dxfId="262" priority="32" operator="containsText" text="MODEL_REVIEW"/>
    <x:cfRule type="containsText" dxfId="263" priority="33" operator="containsText" text="READ"/>
  </x:conditionalFormatting>
  <x:conditionalFormatting sqref="M5:M20">
    <x:cfRule type="containsText" dxfId="264" priority="34" operator="containsText" text="CRITICAL"/>
    <x:cfRule type="containsText" dxfId="265" priority="35" operator="containsText" text="EXPIRED"/>
    <x:cfRule type="containsText" dxfId="266" priority="36" operator="containsText" text="FAILED"/>
    <x:cfRule type="containsText" dxfId="267" priority="37" operator="containsText" text="OVERDUE"/>
    <x:cfRule type="containsText" dxfId="268" priority="38" operator="containsText" text="REJECTED"/>
    <x:cfRule type="containsText" dxfId="269" priority="39" operator="containsText" text="OUT_OF_SERVICE"/>
    <x:cfRule type="containsText" dxfId="270" priority="40" operator="containsText" text="BELOW_THRESHOLD"/>
    <x:cfRule type="containsText" dxfId="271" priority="41" operator="containsText" text="HIGH"/>
    <x:cfRule type="containsText" dxfId="272" priority="42" operator="containsText" text="WARNING"/>
    <x:cfRule type="containsText" dxfId="273" priority="43" operator="containsText" text="DUE_SOON"/>
    <x:cfRule type="containsText" dxfId="274" priority="44" operator="containsText" text="OPEN"/>
    <x:cfRule type="containsText" dxfId="275" priority="45" operator="containsText" text="PENDING"/>
    <x:cfRule type="containsText" dxfId="276" priority="46" operator="containsText" text="SUSPENDED"/>
    <x:cfRule type="containsText" dxfId="277" priority="47" operator="containsText" text="TESTING"/>
    <x:cfRule type="containsText" dxfId="278" priority="48" operator="containsText" text="PARTIAL_FAILURE"/>
    <x:cfRule type="containsText" dxfId="279" priority="49" operator="containsText" text="LOW_STOCK"/>
    <x:cfRule type="containsText" dxfId="280" priority="50" operator="containsText" text="ACTIVE"/>
    <x:cfRule type="containsText" dxfId="281" priority="51" operator="containsText" text="VALID"/>
    <x:cfRule type="containsText" dxfId="282" priority="52" operator="containsText" text="SUCCESS"/>
    <x:cfRule type="containsText" dxfId="283" priority="53" operator="containsText" text="COMPLETED"/>
    <x:cfRule type="containsText" dxfId="284" priority="54" operator="containsText" text="CLOSED"/>
    <x:cfRule type="containsText" dxfId="285" priority="55" operator="containsText" text="CONNECTED"/>
    <x:cfRule type="containsText" dxfId="286" priority="56" operator="containsText" text="NORMAL"/>
    <x:cfRule type="containsText" dxfId="287" priority="57" operator="containsText" text="VERIFIED"/>
    <x:cfRule type="containsText" dxfId="288" priority="58" operator="containsText" text="RESOLVED"/>
    <x:cfRule type="containsText" dxfId="289" priority="59" operator="containsText" text="PASS"/>
    <x:cfRule type="containsText" dxfId="290" priority="60" operator="containsText" text="OK"/>
    <x:cfRule type="containsText" dxfId="291" priority="61" operator="containsText" text="INFO"/>
    <x:cfRule type="containsText" dxfId="292" priority="62" operator="containsText" text="DRAFT"/>
    <x:cfRule type="containsText" dxfId="293" priority="63" operator="containsText" text="SCHEDULED"/>
    <x:cfRule type="containsText" dxfId="294" priority="64" operator="containsText" text="IN_PROGRESS"/>
    <x:cfRule type="containsText" dxfId="295" priority="65" operator="containsText" text="MODEL_REVIEW"/>
    <x:cfRule type="containsText" dxfId="296" priority="66" operator="containsText" text="READ"/>
  </x:conditionalFormatting>
  <x:dataValidations count="1">
    <x:dataValidation type="list" sqref="M5:M20">
      <x:formula1>"PASS,PASS_WITH_ACTION,FAIL"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eb9ff5fb843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17" t="str">
        <x:v>ESCA HSE | Chemicals</x:v>
      </x:c>
      <x:c r="B1" s="17" t="str">
        <x:v>ESCA HSE | Chemicals</x:v>
      </x:c>
      <x:c r="C1" s="17" t="str">
        <x:v>ESCA HSE | Chemicals</x:v>
      </x:c>
      <x:c r="D1" s="17" t="str">
        <x:v>ESCA HSE | Chemicals</x:v>
      </x:c>
      <x:c r="E1" s="17" t="str">
        <x:v>ESCA HSE | Chemicals</x:v>
      </x:c>
      <x:c r="F1" s="17" t="str">
        <x:v>ESCA HSE | Chemicals</x:v>
      </x:c>
      <x:c r="G1" s="17" t="str">
        <x:v>ESCA HSE | Chemicals</x:v>
      </x:c>
      <x:c r="H1" s="17" t="str">
        <x:v>ESCA HSE | Chemicals</x:v>
      </x:c>
      <x:c r="I1" s="17" t="str">
        <x:v>ESCA HSE | Chemicals</x:v>
      </x:c>
      <x:c r="J1" s="17" t="str">
        <x:v>ESCA HSE | Chemicals</x:v>
      </x:c>
      <x:c r="K1" s="17" t="str">
        <x:v>ESCA HSE | Chemicals</x:v>
      </x:c>
      <x:c r="L1" s="17" t="str">
        <x:v>ESCA HSE | Chemicals</x:v>
      </x:c>
    </x:row>
    <x:row r="2" ht="28" customHeight="1">
      <x:c r="A2" s="21" t="str">
        <x:v>Hazardous material inventory | Owner: Member 2 | Synthetic sample data | Snapshot: 2026-08-13</x:v>
      </x:c>
      <x:c r="B2" s="21" t="str">
        <x:v>Hazardous material inventory | Owner: Member 2 | Synthetic sample data | Snapshot: 2026-08-13</x:v>
      </x:c>
      <x:c r="C2" s="21" t="str">
        <x:v>Hazardous material inventory | Owner: Member 2 | Synthetic sample data | Snapshot: 2026-08-13</x:v>
      </x:c>
      <x:c r="D2" s="21" t="str">
        <x:v>Hazardous material inventory | Owner: Member 2 | Synthetic sample data | Snapshot: 2026-08-13</x:v>
      </x:c>
      <x:c r="E2" s="21" t="str">
        <x:v>Hazardous material inventory | Owner: Member 2 | Synthetic sample data | Snapshot: 2026-08-13</x:v>
      </x:c>
      <x:c r="F2" s="21" t="str">
        <x:v>Hazardous material inventory | Owner: Member 2 | Synthetic sample data | Snapshot: 2026-08-13</x:v>
      </x:c>
      <x:c r="G2" s="21" t="str">
        <x:v>Hazardous material inventory | Owner: Member 2 | Synthetic sample data | Snapshot: 2026-08-13</x:v>
      </x:c>
      <x:c r="H2" s="21" t="str">
        <x:v>Hazardous material inventory | Owner: Member 2 | Synthetic sample data | Snapshot: 2026-08-13</x:v>
      </x:c>
      <x:c r="I2" s="21" t="str">
        <x:v>Hazardous material inventory | Owner: Member 2 | Synthetic sample data | Snapshot: 2026-08-13</x:v>
      </x:c>
      <x:c r="J2" s="21" t="str">
        <x:v>Hazardous material inventory | Owner: Member 2 | Synthetic sample data | Snapshot: 2026-08-13</x:v>
      </x:c>
      <x:c r="K2" s="21" t="str">
        <x:v>Hazardous material inventory | Owner: Member 2 | Synthetic sample data | Snapshot: 2026-08-13</x:v>
      </x:c>
      <x:c r="L2" s="21" t="str">
        <x:v>Hazardous material inventory | Owner: Member 2 | Synthetic sample data | Snapshot: 2026-08-13</x:v>
      </x:c>
    </x:row>
    <x:row r="4" ht="30" customHeight="1">
      <x:c r="A4" s="26" t="str">
        <x:v>chemical_id</x:v>
      </x:c>
      <x:c r="B4" s="26" t="str">
        <x:v>trade_name</x:v>
      </x:c>
      <x:c r="C4" s="26" t="str">
        <x:v>chemical_name</x:v>
      </x:c>
      <x:c r="D4" s="26" t="str">
        <x:v>cas_number</x:v>
      </x:c>
      <x:c r="E4" s="26" t="str">
        <x:v>supplier</x:v>
      </x:c>
      <x:c r="F4" s="26" t="str">
        <x:v>quantity</x:v>
      </x:c>
      <x:c r="G4" s="26" t="str">
        <x:v>unit</x:v>
      </x:c>
      <x:c r="H4" s="26" t="str">
        <x:v>ghs_classes</x:v>
      </x:c>
      <x:c r="I4" s="26" t="str">
        <x:v>storage_class</x:v>
      </x:c>
      <x:c r="J4" s="26" t="str">
        <x:v>department_id</x:v>
      </x:c>
      <x:c r="K4" s="26" t="str">
        <x:v>zone_id</x:v>
      </x:c>
      <x:c r="L4" s="26" t="str">
        <x:v>status</x:v>
      </x:c>
    </x:row>
    <x:row r="5" ht="24" customHeight="1">
      <x:c r="A5" s="32" t="str">
        <x:v>CHM-001</x:v>
      </x:c>
      <x:c r="B5" s="32" t="str">
        <x:v>Industrial Solvent A</x:v>
      </x:c>
      <x:c r="C5" s="32" t="str">
        <x:v>Isopropyl alcohol</x:v>
      </x:c>
      <x:c r="D5" s="32" t="str">
        <x:v>67-63-0</x:v>
      </x:c>
      <x:c r="E5" s="32" t="str">
        <x:v>Chem Supplier A</x:v>
      </x:c>
      <x:c r="F5" s="50" t="n">
        <x:v>200</x:v>
      </x:c>
      <x:c r="G5" s="32" t="str">
        <x:v>L</x:v>
      </x:c>
      <x:c r="H5" s="32" t="str">
        <x:v>FLAMMABLE;IRRITANT</x:v>
      </x:c>
      <x:c r="I5" s="32" t="str">
        <x:v>FLAMMABLE</x:v>
      </x:c>
      <x:c r="J5" s="32" t="str">
        <x:v>DEP-QC</x:v>
      </x:c>
      <x:c r="K5" s="32" t="str">
        <x:v>ZN-CHEM</x:v>
      </x:c>
      <x:c r="L5" s="32" t="str">
        <x:v>ACTIVE</x:v>
      </x:c>
    </x:row>
    <x:row r="6" ht="24" customHeight="1">
      <x:c r="A6" s="35" t="str">
        <x:v>CHM-002</x:v>
      </x:c>
      <x:c r="B6" s="35" t="str">
        <x:v>Cleaner B</x:v>
      </x:c>
      <x:c r="C6" s="35" t="str">
        <x:v>Alkaline cleaner</x:v>
      </x:c>
      <x:c r="D6" s="35" t="str">
        <x:v>N/A</x:v>
      </x:c>
      <x:c r="E6" s="35" t="str">
        <x:v>Chem Supplier B</x:v>
      </x:c>
      <x:c r="F6" s="51" t="n">
        <x:v>120</x:v>
      </x:c>
      <x:c r="G6" s="35" t="str">
        <x:v>L</x:v>
      </x:c>
      <x:c r="H6" s="35" t="str">
        <x:v>CORROSIVE</x:v>
      </x:c>
      <x:c r="I6" s="35" t="str">
        <x:v>ALKALI</x:v>
      </x:c>
      <x:c r="J6" s="35" t="str">
        <x:v>DEP-MAINT</x:v>
      </x:c>
      <x:c r="K6" s="35" t="str">
        <x:v>ZN-CHEM</x:v>
      </x:c>
      <x:c r="L6" s="35" t="str">
        <x:v>ACTIVE</x:v>
      </x:c>
    </x:row>
    <x:row r="7" ht="24" customHeight="1">
      <x:c r="A7" s="35" t="str">
        <x:v>CHM-003</x:v>
      </x:c>
      <x:c r="B7" s="35" t="str">
        <x:v>Acid C</x:v>
      </x:c>
      <x:c r="C7" s="35" t="str">
        <x:v>Hydrochloric acid 20%</x:v>
      </x:c>
      <x:c r="D7" s="35" t="str">
        <x:v>7647-01-0</x:v>
      </x:c>
      <x:c r="E7" s="35" t="str">
        <x:v>Chem Supplier C</x:v>
      </x:c>
      <x:c r="F7" s="51" t="n">
        <x:v>80</x:v>
      </x:c>
      <x:c r="G7" s="35" t="str">
        <x:v>L</x:v>
      </x:c>
      <x:c r="H7" s="35" t="str">
        <x:v>CORROSIVE;TOXIC</x:v>
      </x:c>
      <x:c r="I7" s="35" t="str">
        <x:v>ACID</x:v>
      </x:c>
      <x:c r="J7" s="35" t="str">
        <x:v>DEP-QC</x:v>
      </x:c>
      <x:c r="K7" s="35" t="str">
        <x:v>ZN-CHEM</x:v>
      </x:c>
      <x:c r="L7" s="35" t="str">
        <x:v>ACTIVE</x:v>
      </x:c>
    </x:row>
    <x:row r="8" ht="24" customHeight="1">
      <x:c r="A8" s="35" t="str">
        <x:v>CHM-004</x:v>
      </x:c>
      <x:c r="B8" s="35" t="str">
        <x:v>Oxygen</x:v>
      </x:c>
      <x:c r="C8" s="35" t="str">
        <x:v>Compressed oxygen</x:v>
      </x:c>
      <x:c r="D8" s="35" t="str">
        <x:v>7782-44-7</x:v>
      </x:c>
      <x:c r="E8" s="35" t="str">
        <x:v>Gas Supplier</x:v>
      </x:c>
      <x:c r="F8" s="51" t="n">
        <x:v>24</x:v>
      </x:c>
      <x:c r="G8" s="35" t="str">
        <x:v>CYL</x:v>
      </x:c>
      <x:c r="H8" s="35" t="str">
        <x:v>OXIDIZER;COMPRESSED_GAS</x:v>
      </x:c>
      <x:c r="I8" s="35" t="str">
        <x:v>OXIDIZER</x:v>
      </x:c>
      <x:c r="J8" s="35" t="str">
        <x:v>DEP-MAINT</x:v>
      </x:c>
      <x:c r="K8" s="35" t="str">
        <x:v>ZN-CHEM</x:v>
      </x:c>
      <x:c r="L8" s="35" t="str">
        <x:v>ACTIVE</x:v>
      </x:c>
    </x:row>
    <x:row r="9" ht="24" customHeight="1">
      <x:c r="A9" s="35" t="str">
        <x:v>CHM-005</x:v>
      </x:c>
      <x:c r="B9" s="35" t="str">
        <x:v>Acetylene</x:v>
      </x:c>
      <x:c r="C9" s="35" t="str">
        <x:v>Acetylene</x:v>
      </x:c>
      <x:c r="D9" s="35" t="str">
        <x:v>74-86-2</x:v>
      </x:c>
      <x:c r="E9" s="35" t="str">
        <x:v>Gas Supplier</x:v>
      </x:c>
      <x:c r="F9" s="51" t="n">
        <x:v>18</x:v>
      </x:c>
      <x:c r="G9" s="35" t="str">
        <x:v>CYL</x:v>
      </x:c>
      <x:c r="H9" s="35" t="str">
        <x:v>FLAMMABLE;COMPRESSED_GAS</x:v>
      </x:c>
      <x:c r="I9" s="35" t="str">
        <x:v>FLAMMABLE_GAS</x:v>
      </x:c>
      <x:c r="J9" s="35" t="str">
        <x:v>DEP-MAINT</x:v>
      </x:c>
      <x:c r="K9" s="35" t="str">
        <x:v>ZN-CHEM</x:v>
      </x:c>
      <x:c r="L9" s="35" t="str">
        <x:v>ACTIVE</x:v>
      </x:c>
    </x:row>
    <x:row r="10" ht="24" customHeight="1">
      <x:c r="A10" s="35" t="str">
        <x:v>CHM-006</x:v>
      </x:c>
      <x:c r="B10" s="35" t="str">
        <x:v>Resin Hardener</x:v>
      </x:c>
      <x:c r="C10" s="35" t="str">
        <x:v>Epoxy hardener</x:v>
      </x:c>
      <x:c r="D10" s="35" t="str">
        <x:v>MIXTURE</x:v>
      </x:c>
      <x:c r="E10" s="35" t="str">
        <x:v>Chem Supplier A</x:v>
      </x:c>
      <x:c r="F10" s="51" t="n">
        <x:v>60</x:v>
      </x:c>
      <x:c r="G10" s="35" t="str">
        <x:v>L</x:v>
      </x:c>
      <x:c r="H10" s="35" t="str">
        <x:v>CORROSIVE;HEALTH_HAZARD</x:v>
      </x:c>
      <x:c r="I10" s="35" t="str">
        <x:v>ORGANIC</x:v>
      </x:c>
      <x:c r="J10" s="35" t="str">
        <x:v>DEP-PROD-A</x:v>
      </x:c>
      <x:c r="K10" s="35" t="str">
        <x:v>ZN-CHEM</x:v>
      </x:c>
      <x:c r="L10" s="35" t="str">
        <x:v>ACTIVE</x:v>
      </x:c>
    </x:row>
    <x:row r="11" ht="24" customHeight="1">
      <x:c r="A11" s="35" t="str">
        <x:v>CHM-007</x:v>
      </x:c>
      <x:c r="B11" s="35" t="str">
        <x:v>Lubricant X</x:v>
      </x:c>
      <x:c r="C11" s="35" t="str">
        <x:v>Mineral oil</x:v>
      </x:c>
      <x:c r="D11" s="35" t="str">
        <x:v>MIXTURE</x:v>
      </x:c>
      <x:c r="E11" s="35" t="str">
        <x:v>Lubricant Supplier</x:v>
      </x:c>
      <x:c r="F11" s="51" t="n">
        <x:v>400</x:v>
      </x:c>
      <x:c r="G11" s="35" t="str">
        <x:v>L</x:v>
      </x:c>
      <x:c r="H11" s="35" t="str">
        <x:v>ENVIRONMENTAL_HAZARD</x:v>
      </x:c>
      <x:c r="I11" s="35" t="str">
        <x:v>OIL</x:v>
      </x:c>
      <x:c r="J11" s="35" t="str">
        <x:v>DEP-MAINT</x:v>
      </x:c>
      <x:c r="K11" s="35" t="str">
        <x:v>ZN-W01</x:v>
      </x:c>
      <x:c r="L11" s="35" t="str">
        <x:v>ACTIVE</x:v>
      </x:c>
    </x:row>
    <x:row r="12" ht="24" customHeight="1">
      <x:c r="A12" s="35" t="str">
        <x:v>CHM-008</x:v>
      </x:c>
      <x:c r="B12" s="35" t="str">
        <x:v>Paint Red</x:v>
      </x:c>
      <x:c r="C12" s="35" t="str">
        <x:v>Industrial paint</x:v>
      </x:c>
      <x:c r="D12" s="35" t="str">
        <x:v>MIXTURE</x:v>
      </x:c>
      <x:c r="E12" s="35" t="str">
        <x:v>Paint Supplier</x:v>
      </x:c>
      <x:c r="F12" s="51" t="n">
        <x:v>90</x:v>
      </x:c>
      <x:c r="G12" s="35" t="str">
        <x:v>L</x:v>
      </x:c>
      <x:c r="H12" s="35" t="str">
        <x:v>FLAMMABLE;HEALTH_HAZARD</x:v>
      </x:c>
      <x:c r="I12" s="35" t="str">
        <x:v>FLAMMABLE</x:v>
      </x:c>
      <x:c r="J12" s="35" t="str">
        <x:v>DEP-MAINT</x:v>
      </x:c>
      <x:c r="K12" s="35" t="str">
        <x:v>ZN-CHEM</x:v>
      </x:c>
      <x:c r="L12" s="35" t="str">
        <x:v>ACTIVE</x:v>
      </x:c>
    </x:row>
    <x:row r="13" ht="24" customHeight="1">
      <x:c r="A13" s="35" t="str">
        <x:v>CHM-009</x:v>
      </x:c>
      <x:c r="B13" s="35" t="str">
        <x:v>Nitrogen</x:v>
      </x:c>
      <x:c r="C13" s="35" t="str">
        <x:v>Compressed nitrogen</x:v>
      </x:c>
      <x:c r="D13" s="35" t="str">
        <x:v>7727-37-9</x:v>
      </x:c>
      <x:c r="E13" s="35" t="str">
        <x:v>Gas Supplier</x:v>
      </x:c>
      <x:c r="F13" s="51" t="n">
        <x:v>12</x:v>
      </x:c>
      <x:c r="G13" s="35" t="str">
        <x:v>CYL</x:v>
      </x:c>
      <x:c r="H13" s="35" t="str">
        <x:v>COMPRESSED_GAS</x:v>
      </x:c>
      <x:c r="I13" s="35" t="str">
        <x:v>INERT_GAS</x:v>
      </x:c>
      <x:c r="J13" s="35" t="str">
        <x:v>DEP-QC</x:v>
      </x:c>
      <x:c r="K13" s="35" t="str">
        <x:v>ZN-CHEM</x:v>
      </x:c>
      <x:c r="L13" s="35" t="str">
        <x:v>ACTIVE</x:v>
      </x:c>
    </x:row>
    <x:row r="14" ht="24" customHeight="1">
      <x:c r="A14" s="35" t="str">
        <x:v>CHM-010</x:v>
      </x:c>
      <x:c r="B14" s="35" t="str">
        <x:v>Coolant Y</x:v>
      </x:c>
      <x:c r="C14" s="35" t="str">
        <x:v>Synthetic coolant</x:v>
      </x:c>
      <x:c r="D14" s="35" t="str">
        <x:v>MIXTURE</x:v>
      </x:c>
      <x:c r="E14" s="35" t="str">
        <x:v>Chem Supplier B</x:v>
      </x:c>
      <x:c r="F14" s="51" t="n">
        <x:v>250</x:v>
      </x:c>
      <x:c r="G14" s="35" t="str">
        <x:v>L</x:v>
      </x:c>
      <x:c r="H14" s="35" t="str">
        <x:v>IRRITANT</x:v>
      </x:c>
      <x:c r="I14" s="35" t="str">
        <x:v>AQUEOUS</x:v>
      </x:c>
      <x:c r="J14" s="35" t="str">
        <x:v>DEP-PROD-A</x:v>
      </x:c>
      <x:c r="K14" s="35" t="str">
        <x:v>ZN-W01</x:v>
      </x:c>
      <x:c r="L14" s="35" t="str">
        <x:v>ACTIVE</x:v>
      </x:c>
    </x:row>
    <x:row r="15" ht="24" customHeight="1">
      <x:c r="A15" s="35" t="str">
        <x:v>CHM-011</x:v>
      </x:c>
      <x:c r="B15" s="35" t="str">
        <x:v>Obsolete Cleaner</x:v>
      </x:c>
      <x:c r="C15" s="35" t="str">
        <x:v>Legacy solvent</x:v>
      </x:c>
      <x:c r="D15" s="35" t="str">
        <x:v>MIXTURE</x:v>
      </x:c>
      <x:c r="E15" s="35" t="str">
        <x:v>Legacy Supplier</x:v>
      </x:c>
      <x:c r="F15" s="51" t="n">
        <x:v>0</x:v>
      </x:c>
      <x:c r="G15" s="35" t="str">
        <x:v>L</x:v>
      </x:c>
      <x:c r="H15" s="35" t="str">
        <x:v>FLAMMABLE</x:v>
      </x:c>
      <x:c r="I15" s="35" t="str">
        <x:v>FLAMMABLE</x:v>
      </x:c>
      <x:c r="J15" s="35" t="str">
        <x:v>DEP-MAINT</x:v>
      </x:c>
      <x:c r="K15" s="35" t="str">
        <x:v>ZN-CHEM</x:v>
      </x:c>
      <x:c r="L15" s="35" t="str">
        <x:v>PHASED_OUT</x:v>
      </x:c>
    </x:row>
    <x:row r="16" ht="24" customHeight="1">
      <x:c r="A16" s="38" t="str">
        <x:v>CHM-012</x:v>
      </x:c>
      <x:c r="B16" s="38" t="str">
        <x:v>Battery Electrolyte</x:v>
      </x:c>
      <x:c r="C16" s="38" t="str">
        <x:v>Sulfuric acid solution</x:v>
      </x:c>
      <x:c r="D16" s="38" t="str">
        <x:v>7664-93-9</x:v>
      </x:c>
      <x:c r="E16" s="38" t="str">
        <x:v>Battery Supplier</x:v>
      </x:c>
      <x:c r="F16" s="52" t="n">
        <x:v>40</x:v>
      </x:c>
      <x:c r="G16" s="38" t="str">
        <x:v>L</x:v>
      </x:c>
      <x:c r="H16" s="38" t="str">
        <x:v>CORROSIVE</x:v>
      </x:c>
      <x:c r="I16" s="38" t="str">
        <x:v>ACID</x:v>
      </x:c>
      <x:c r="J16" s="38" t="str">
        <x:v>DEP-UTIL</x:v>
      </x:c>
      <x:c r="K16" s="38" t="str">
        <x:v>ZN-U01</x:v>
      </x:c>
      <x:c r="L16" s="38" t="str">
        <x:v>QUARANTINED</x:v>
      </x:c>
    </x:row>
  </x:sheetData>
  <x:mergeCells>
    <x:mergeCell ref="A1:L1"/>
    <x:mergeCell ref="A2:L2"/>
  </x:mergeCells>
  <x:conditionalFormatting sqref="L5:L16">
    <x:cfRule type="containsText" dxfId="297" priority="1" operator="containsText" text="CRITICAL"/>
    <x:cfRule type="containsText" dxfId="298" priority="2" operator="containsText" text="EXPIRED"/>
    <x:cfRule type="containsText" dxfId="299" priority="3" operator="containsText" text="FAILED"/>
    <x:cfRule type="containsText" dxfId="300" priority="4" operator="containsText" text="OVERDUE"/>
    <x:cfRule type="containsText" dxfId="301" priority="5" operator="containsText" text="REJECTED"/>
    <x:cfRule type="containsText" dxfId="302" priority="6" operator="containsText" text="OUT_OF_SERVICE"/>
    <x:cfRule type="containsText" dxfId="303" priority="7" operator="containsText" text="BELOW_THRESHOLD"/>
    <x:cfRule type="containsText" dxfId="304" priority="8" operator="containsText" text="HIGH"/>
    <x:cfRule type="containsText" dxfId="305" priority="9" operator="containsText" text="WARNING"/>
    <x:cfRule type="containsText" dxfId="306" priority="10" operator="containsText" text="DUE_SOON"/>
    <x:cfRule type="containsText" dxfId="307" priority="11" operator="containsText" text="OPEN"/>
    <x:cfRule type="containsText" dxfId="308" priority="12" operator="containsText" text="PENDING"/>
    <x:cfRule type="containsText" dxfId="309" priority="13" operator="containsText" text="SUSPENDED"/>
    <x:cfRule type="containsText" dxfId="310" priority="14" operator="containsText" text="TESTING"/>
    <x:cfRule type="containsText" dxfId="311" priority="15" operator="containsText" text="PARTIAL_FAILURE"/>
    <x:cfRule type="containsText" dxfId="312" priority="16" operator="containsText" text="LOW_STOCK"/>
    <x:cfRule type="containsText" dxfId="313" priority="17" operator="containsText" text="ACTIVE"/>
    <x:cfRule type="containsText" dxfId="314" priority="18" operator="containsText" text="VALID"/>
    <x:cfRule type="containsText" dxfId="315" priority="19" operator="containsText" text="SUCCESS"/>
    <x:cfRule type="containsText" dxfId="316" priority="20" operator="containsText" text="COMPLETED"/>
    <x:cfRule type="containsText" dxfId="317" priority="21" operator="containsText" text="CLOSED"/>
    <x:cfRule type="containsText" dxfId="318" priority="22" operator="containsText" text="CONNECTED"/>
    <x:cfRule type="containsText" dxfId="319" priority="23" operator="containsText" text="NORMAL"/>
    <x:cfRule type="containsText" dxfId="320" priority="24" operator="containsText" text="VERIFIED"/>
    <x:cfRule type="containsText" dxfId="321" priority="25" operator="containsText" text="RESOLVED"/>
    <x:cfRule type="containsText" dxfId="322" priority="26" operator="containsText" text="PASS"/>
    <x:cfRule type="containsText" dxfId="323" priority="27" operator="containsText" text="OK"/>
    <x:cfRule type="containsText" dxfId="324" priority="28" operator="containsText" text="INFO"/>
    <x:cfRule type="containsText" dxfId="325" priority="29" operator="containsText" text="DRAFT"/>
    <x:cfRule type="containsText" dxfId="326" priority="30" operator="containsText" text="SCHEDULED"/>
    <x:cfRule type="containsText" dxfId="327" priority="31" operator="containsText" text="IN_PROGRESS"/>
    <x:cfRule type="containsText" dxfId="328" priority="32" operator="containsText" text="MODEL_REVIEW"/>
    <x:cfRule type="containsText" dxfId="329" priority="33" operator="containsText" text="READ"/>
  </x:conditionalFormatting>
  <x:dataValidations count="1">
    <x:dataValidation type="list" sqref="L5:L16">
      <x:formula1>"ACTIVE,PHASED_OUT,QUARANTINED"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5785f729d24d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28" hidden="0" customWidth="1"/>
    <x:col min="8" max="8" width="34" hidden="0" customWidth="1"/>
    <x:col min="9" max="9" width="18" hidden="0" customWidth="1"/>
    <x:col min="10" max="10" width="13" hidden="0" customWidth="1"/>
  </x:cols>
  <x:sheetData>
    <x:row r="1" ht="32" customHeight="1">
      <x:c r="A1" s="17" t="str">
        <x:v>ESCA HSE | SDS_Records</x:v>
      </x:c>
      <x:c r="B1" s="17" t="str">
        <x:v>ESCA HSE | SDS_Records</x:v>
      </x:c>
      <x:c r="C1" s="17" t="str">
        <x:v>ESCA HSE | SDS_Records</x:v>
      </x:c>
      <x:c r="D1" s="17" t="str">
        <x:v>ESCA HSE | SDS_Records</x:v>
      </x:c>
      <x:c r="E1" s="17" t="str">
        <x:v>ESCA HSE | SDS_Records</x:v>
      </x:c>
      <x:c r="F1" s="17" t="str">
        <x:v>ESCA HSE | SDS_Records</x:v>
      </x:c>
      <x:c r="G1" s="17" t="str">
        <x:v>ESCA HSE | SDS_Records</x:v>
      </x:c>
      <x:c r="H1" s="17" t="str">
        <x:v>ESCA HSE | SDS_Records</x:v>
      </x:c>
      <x:c r="I1" s="17" t="str">
        <x:v>ESCA HSE | SDS_Records</x:v>
      </x:c>
      <x:c r="J1" s="17" t="str">
        <x:v>ESCA HSE | SDS_Records</x:v>
      </x:c>
    </x:row>
    <x:row r="2" ht="28" customHeight="1">
      <x:c r="A2" s="21" t="str">
        <x:v>Safety Data Sheet versions | Owner: Member 2 | Synthetic sample data | Snapshot: 2026-08-13</x:v>
      </x:c>
      <x:c r="B2" s="21" t="str">
        <x:v>Safety Data Sheet versions | Owner: Member 2 | Synthetic sample data | Snapshot: 2026-08-13</x:v>
      </x:c>
      <x:c r="C2" s="21" t="str">
        <x:v>Safety Data Sheet versions | Owner: Member 2 | Synthetic sample data | Snapshot: 2026-08-13</x:v>
      </x:c>
      <x:c r="D2" s="21" t="str">
        <x:v>Safety Data Sheet versions | Owner: Member 2 | Synthetic sample data | Snapshot: 2026-08-13</x:v>
      </x:c>
      <x:c r="E2" s="21" t="str">
        <x:v>Safety Data Sheet versions | Owner: Member 2 | Synthetic sample data | Snapshot: 2026-08-13</x:v>
      </x:c>
      <x:c r="F2" s="21" t="str">
        <x:v>Safety Data Sheet versions | Owner: Member 2 | Synthetic sample data | Snapshot: 2026-08-13</x:v>
      </x:c>
      <x:c r="G2" s="21" t="str">
        <x:v>Safety Data Sheet versions | Owner: Member 2 | Synthetic sample data | Snapshot: 2026-08-13</x:v>
      </x:c>
      <x:c r="H2" s="21" t="str">
        <x:v>Safety Data Sheet versions | Owner: Member 2 | Synthetic sample data | Snapshot: 2026-08-13</x:v>
      </x:c>
      <x:c r="I2" s="21" t="str">
        <x:v>Safety Data Sheet versions | Owner: Member 2 | Synthetic sample data | Snapshot: 2026-08-13</x:v>
      </x:c>
      <x:c r="J2" s="21" t="str">
        <x:v>Safety Data Sheet versions | Owner: Member 2 | Synthetic sample data | Snapshot: 2026-08-13</x:v>
      </x:c>
    </x:row>
    <x:row r="4" ht="30" customHeight="1">
      <x:c r="A4" s="26" t="str">
        <x:v>sds_id</x:v>
      </x:c>
      <x:c r="B4" s="26" t="str">
        <x:v>chemical_id</x:v>
      </x:c>
      <x:c r="C4" s="26" t="str">
        <x:v>version_no</x:v>
      </x:c>
      <x:c r="D4" s="26" t="str">
        <x:v>issue_date</x:v>
      </x:c>
      <x:c r="E4" s="26" t="str">
        <x:v>expiry_date</x:v>
      </x:c>
      <x:c r="F4" s="26" t="str">
        <x:v>language</x:v>
      </x:c>
      <x:c r="G4" s="26" t="str">
        <x:v>file_ref</x:v>
      </x:c>
      <x:c r="H4" s="26" t="str">
        <x:v>emergency_summary</x:v>
      </x:c>
      <x:c r="I4" s="26" t="str">
        <x:v>status</x:v>
      </x:c>
      <x:c r="J4" s="26" t="str">
        <x:v>days_to_expiry</x:v>
      </x:c>
    </x:row>
    <x:row r="5" ht="24" customHeight="1">
      <x:c r="A5" s="32" t="str">
        <x:v>SDS-001</x:v>
      </x:c>
      <x:c r="B5" s="32" t="str">
        <x:v>CHM-001</x:v>
      </x:c>
      <x:c r="C5" s="32" t="str">
        <x:v>1.0</x:v>
      </x:c>
      <x:c r="D5" s="42" t="n">
        <x:v>44927</x:v>
      </x:c>
      <x:c r="E5" s="42" t="n">
        <x:v>46388</x:v>
      </x:c>
      <x:c r="F5" s="32" t="str">
        <x:v>AR;EN</x:v>
      </x:c>
      <x:c r="G5" s="32" t="str">
        <x:v>sds/chm-001_latest.pdf</x:v>
      </x:c>
      <x:c r="H5" s="53" t="str">
        <x:v>Refer to approved spill and first-aid procedure.</x:v>
      </x:c>
      <x:c r="I5" s="32" t="str">
        <x:v>CURRENT</x:v>
      </x:c>
      <x:c r="J5" s="32" t="n">
        <x:f>E5-'Summary'!$B$3</x:f>
        <x:v>141</x:v>
      </x:c>
    </x:row>
    <x:row r="6" ht="24" customHeight="1">
      <x:c r="A6" s="35" t="str">
        <x:v>SDS-002</x:v>
      </x:c>
      <x:c r="B6" s="35" t="str">
        <x:v>CHM-002</x:v>
      </x:c>
      <x:c r="C6" s="35" t="str">
        <x:v>2.1</x:v>
      </x:c>
      <x:c r="D6" s="43" t="n">
        <x:v>45323</x:v>
      </x:c>
      <x:c r="E6" s="43" t="n">
        <x:v>46419</x:v>
      </x:c>
      <x:c r="F6" s="35" t="str">
        <x:v>AR;EN</x:v>
      </x:c>
      <x:c r="G6" s="35" t="str">
        <x:v>sds/chm-002_latest.pdf</x:v>
      </x:c>
      <x:c r="H6" s="54" t="str">
        <x:v>Refer to approved spill and first-aid procedure.</x:v>
      </x:c>
      <x:c r="I6" s="35" t="str">
        <x:v>CURRENT</x:v>
      </x:c>
      <x:c r="J6" s="35" t="n">
        <x:f>E6-'Summary'!$B$3</x:f>
        <x:v>172</x:v>
      </x:c>
    </x:row>
    <x:row r="7" ht="24" customHeight="1">
      <x:c r="A7" s="35" t="str">
        <x:v>SDS-003</x:v>
      </x:c>
      <x:c r="B7" s="35" t="str">
        <x:v>CHM-003</x:v>
      </x:c>
      <x:c r="C7" s="35" t="str">
        <x:v>3.0</x:v>
      </x:c>
      <x:c r="D7" s="43" t="n">
        <x:v>45717</x:v>
      </x:c>
      <x:c r="E7" s="43" t="n">
        <x:v>46447</x:v>
      </x:c>
      <x:c r="F7" s="35" t="str">
        <x:v>AR;EN</x:v>
      </x:c>
      <x:c r="G7" s="35" t="str">
        <x:v>sds/chm-003_latest.pdf</x:v>
      </x:c>
      <x:c r="H7" s="54" t="str">
        <x:v>Refer to approved spill and first-aid procedure.</x:v>
      </x:c>
      <x:c r="I7" s="35" t="str">
        <x:v>CURRENT</x:v>
      </x:c>
      <x:c r="J7" s="35" t="n">
        <x:f>E7-'Summary'!$B$3</x:f>
        <x:v>200</x:v>
      </x:c>
    </x:row>
    <x:row r="8" ht="24" customHeight="1">
      <x:c r="A8" s="35" t="str">
        <x:v>SDS-004</x:v>
      </x:c>
      <x:c r="B8" s="35" t="str">
        <x:v>CHM-004</x:v>
      </x:c>
      <x:c r="C8" s="35" t="str">
        <x:v>1.1</x:v>
      </x:c>
      <x:c r="D8" s="43" t="n">
        <x:v>45017</x:v>
      </x:c>
      <x:c r="E8" s="43" t="n">
        <x:v>46478</x:v>
      </x:c>
      <x:c r="F8" s="35" t="str">
        <x:v>AR;EN</x:v>
      </x:c>
      <x:c r="G8" s="35" t="str">
        <x:v>sds/chm-004_latest.pdf</x:v>
      </x:c>
      <x:c r="H8" s="54" t="str">
        <x:v>Refer to approved spill and first-aid procedure.</x:v>
      </x:c>
      <x:c r="I8" s="35" t="str">
        <x:v>CURRENT</x:v>
      </x:c>
      <x:c r="J8" s="35" t="n">
        <x:f>E8-'Summary'!$B$3</x:f>
        <x:v>231</x:v>
      </x:c>
    </x:row>
    <x:row r="9" ht="24" customHeight="1">
      <x:c r="A9" s="35" t="str">
        <x:v>SDS-005</x:v>
      </x:c>
      <x:c r="B9" s="35" t="str">
        <x:v>CHM-005</x:v>
      </x:c>
      <x:c r="C9" s="35" t="str">
        <x:v>2.0</x:v>
      </x:c>
      <x:c r="D9" s="43" t="n">
        <x:v>45413</x:v>
      </x:c>
      <x:c r="E9" s="43" t="n">
        <x:v>46508</x:v>
      </x:c>
      <x:c r="F9" s="35" t="str">
        <x:v>AR;EN</x:v>
      </x:c>
      <x:c r="G9" s="35" t="str">
        <x:v>sds/chm-005_latest.pdf</x:v>
      </x:c>
      <x:c r="H9" s="54" t="str">
        <x:v>Refer to approved spill and first-aid procedure.</x:v>
      </x:c>
      <x:c r="I9" s="35" t="str">
        <x:v>CURRENT</x:v>
      </x:c>
      <x:c r="J9" s="35" t="n">
        <x:f>E9-'Summary'!$B$3</x:f>
        <x:v>261</x:v>
      </x:c>
    </x:row>
    <x:row r="10" ht="24" customHeight="1">
      <x:c r="A10" s="35" t="str">
        <x:v>SDS-006</x:v>
      </x:c>
      <x:c r="B10" s="35" t="str">
        <x:v>CHM-006</x:v>
      </x:c>
      <x:c r="C10" s="35" t="str">
        <x:v>3.1</x:v>
      </x:c>
      <x:c r="D10" s="43" t="n">
        <x:v>45809</x:v>
      </x:c>
      <x:c r="E10" s="43" t="n">
        <x:v>46239</x:v>
      </x:c>
      <x:c r="F10" s="35" t="str">
        <x:v>EN</x:v>
      </x:c>
      <x:c r="G10" s="35"/>
      <x:c r="H10" s="54" t="str">
        <x:v>Refer to approved spill and first-aid procedure.</x:v>
      </x:c>
      <x:c r="I10" s="35" t="str">
        <x:v>MISSING_CURRENT_VERSION</x:v>
      </x:c>
      <x:c r="J10" s="35" t="n">
        <x:f>E10-'Summary'!$B$3</x:f>
        <x:v>-8</x:v>
      </x:c>
    </x:row>
    <x:row r="11" ht="24" customHeight="1">
      <x:c r="A11" s="35" t="str">
        <x:v>SDS-007</x:v>
      </x:c>
      <x:c r="B11" s="35" t="str">
        <x:v>CHM-007</x:v>
      </x:c>
      <x:c r="C11" s="35" t="str">
        <x:v>1.0</x:v>
      </x:c>
      <x:c r="D11" s="43" t="n">
        <x:v>45108</x:v>
      </x:c>
      <x:c r="E11" s="43" t="n">
        <x:v>46569</x:v>
      </x:c>
      <x:c r="F11" s="35" t="str">
        <x:v>AR;EN</x:v>
      </x:c>
      <x:c r="G11" s="35" t="str">
        <x:v>sds/chm-007_latest.pdf</x:v>
      </x:c>
      <x:c r="H11" s="54" t="str">
        <x:v>Refer to approved spill and first-aid procedure.</x:v>
      </x:c>
      <x:c r="I11" s="35" t="str">
        <x:v>CURRENT</x:v>
      </x:c>
      <x:c r="J11" s="35" t="n">
        <x:f>E11-'Summary'!$B$3</x:f>
        <x:v>322</x:v>
      </x:c>
    </x:row>
    <x:row r="12" ht="24" customHeight="1">
      <x:c r="A12" s="35" t="str">
        <x:v>SDS-008</x:v>
      </x:c>
      <x:c r="B12" s="35" t="str">
        <x:v>CHM-008</x:v>
      </x:c>
      <x:c r="C12" s="35" t="str">
        <x:v>2.1</x:v>
      </x:c>
      <x:c r="D12" s="43" t="n">
        <x:v>45505</x:v>
      </x:c>
      <x:c r="E12" s="43" t="n">
        <x:v>46254</x:v>
      </x:c>
      <x:c r="F12" s="35" t="str">
        <x:v>AR;EN</x:v>
      </x:c>
      <x:c r="G12" s="35" t="str">
        <x:v>sds/chm-008_latest.pdf</x:v>
      </x:c>
      <x:c r="H12" s="54" t="str">
        <x:v>Refer to approved spill and first-aid procedure.</x:v>
      </x:c>
      <x:c r="I12" s="35" t="str">
        <x:v>DUE_SOON</x:v>
      </x:c>
      <x:c r="J12" s="35" t="n">
        <x:f>E12-'Summary'!$B$3</x:f>
        <x:v>7</x:v>
      </x:c>
    </x:row>
    <x:row r="13" ht="24" customHeight="1">
      <x:c r="A13" s="35" t="str">
        <x:v>SDS-009</x:v>
      </x:c>
      <x:c r="B13" s="35" t="str">
        <x:v>CHM-009</x:v>
      </x:c>
      <x:c r="C13" s="35" t="str">
        <x:v>3.0</x:v>
      </x:c>
      <x:c r="D13" s="43" t="n">
        <x:v>45901</x:v>
      </x:c>
      <x:c r="E13" s="43" t="n">
        <x:v>46631</x:v>
      </x:c>
      <x:c r="F13" s="35" t="str">
        <x:v>AR;EN</x:v>
      </x:c>
      <x:c r="G13" s="35" t="str">
        <x:v>sds/chm-009_latest.pdf</x:v>
      </x:c>
      <x:c r="H13" s="54" t="str">
        <x:v>Refer to approved spill and first-aid procedure.</x:v>
      </x:c>
      <x:c r="I13" s="35" t="str">
        <x:v>CURRENT</x:v>
      </x:c>
      <x:c r="J13" s="35" t="n">
        <x:f>E13-'Summary'!$B$3</x:f>
        <x:v>384</x:v>
      </x:c>
    </x:row>
    <x:row r="14" ht="24" customHeight="1">
      <x:c r="A14" s="35" t="str">
        <x:v>SDS-010</x:v>
      </x:c>
      <x:c r="B14" s="35" t="str">
        <x:v>CHM-010</x:v>
      </x:c>
      <x:c r="C14" s="35" t="str">
        <x:v>1.1</x:v>
      </x:c>
      <x:c r="D14" s="43" t="n">
        <x:v>44927</x:v>
      </x:c>
      <x:c r="E14" s="43" t="n">
        <x:v>46388</x:v>
      </x:c>
      <x:c r="F14" s="35" t="str">
        <x:v>AR;EN</x:v>
      </x:c>
      <x:c r="G14" s="35" t="str">
        <x:v>sds/chm-010_latest.pdf</x:v>
      </x:c>
      <x:c r="H14" s="54" t="str">
        <x:v>Refer to approved spill and first-aid procedure.</x:v>
      </x:c>
      <x:c r="I14" s="35" t="str">
        <x:v>CURRENT</x:v>
      </x:c>
      <x:c r="J14" s="35" t="n">
        <x:f>E14-'Summary'!$B$3</x:f>
        <x:v>141</x:v>
      </x:c>
    </x:row>
    <x:row r="15" ht="24" customHeight="1">
      <x:c r="A15" s="35" t="str">
        <x:v>SDS-011</x:v>
      </x:c>
      <x:c r="B15" s="35" t="str">
        <x:v>CHM-011</x:v>
      </x:c>
      <x:c r="C15" s="35" t="str">
        <x:v>2.0</x:v>
      </x:c>
      <x:c r="D15" s="43" t="n">
        <x:v>45323</x:v>
      </x:c>
      <x:c r="E15" s="43" t="n">
        <x:v>46419</x:v>
      </x:c>
      <x:c r="F15" s="35" t="str">
        <x:v>AR;EN</x:v>
      </x:c>
      <x:c r="G15" s="35" t="str">
        <x:v>sds/chm-011_latest.pdf</x:v>
      </x:c>
      <x:c r="H15" s="54" t="str">
        <x:v>Refer to approved spill and first-aid procedure.</x:v>
      </x:c>
      <x:c r="I15" s="35" t="str">
        <x:v>CURRENT</x:v>
      </x:c>
      <x:c r="J15" s="35" t="n">
        <x:f>E15-'Summary'!$B$3</x:f>
        <x:v>172</x:v>
      </x:c>
    </x:row>
    <x:row r="16" ht="24" customHeight="1">
      <x:c r="A16" s="38" t="str">
        <x:v>SDS-012</x:v>
      </x:c>
      <x:c r="B16" s="38" t="str">
        <x:v>CHM-012</x:v>
      </x:c>
      <x:c r="C16" s="38" t="str">
        <x:v>3.1</x:v>
      </x:c>
      <x:c r="D16" s="44" t="n">
        <x:v>45717</x:v>
      </x:c>
      <x:c r="E16" s="44" t="n">
        <x:v>46447</x:v>
      </x:c>
      <x:c r="F16" s="38" t="str">
        <x:v>AR;EN</x:v>
      </x:c>
      <x:c r="G16" s="38" t="str">
        <x:v>sds/chm-012_latest.pdf</x:v>
      </x:c>
      <x:c r="H16" s="55" t="str">
        <x:v>Refer to approved spill and first-aid procedure.</x:v>
      </x:c>
      <x:c r="I16" s="38" t="str">
        <x:v>CURRENT</x:v>
      </x:c>
      <x:c r="J16" s="38" t="n">
        <x:f>E16-'Summary'!$B$3</x:f>
        <x:v>200</x:v>
      </x:c>
    </x:row>
  </x:sheetData>
  <x:mergeCells>
    <x:mergeCell ref="A1:J1"/>
    <x:mergeCell ref="A2:J2"/>
  </x:mergeCells>
  <x:conditionalFormatting sqref="I5:I16">
    <x:cfRule type="containsText" dxfId="330" priority="1" operator="containsText" text="CRITICAL"/>
    <x:cfRule type="containsText" dxfId="331" priority="2" operator="containsText" text="EXPIRED"/>
    <x:cfRule type="containsText" dxfId="332" priority="3" operator="containsText" text="FAILED"/>
    <x:cfRule type="containsText" dxfId="333" priority="4" operator="containsText" text="OVERDUE"/>
    <x:cfRule type="containsText" dxfId="334" priority="5" operator="containsText" text="REJECTED"/>
    <x:cfRule type="containsText" dxfId="335" priority="6" operator="containsText" text="OUT_OF_SERVICE"/>
    <x:cfRule type="containsText" dxfId="336" priority="7" operator="containsText" text="BELOW_THRESHOLD"/>
    <x:cfRule type="containsText" dxfId="337" priority="8" operator="containsText" text="HIGH"/>
    <x:cfRule type="containsText" dxfId="338" priority="9" operator="containsText" text="WARNING"/>
    <x:cfRule type="containsText" dxfId="339" priority="10" operator="containsText" text="DUE_SOON"/>
    <x:cfRule type="containsText" dxfId="340" priority="11" operator="containsText" text="OPEN"/>
    <x:cfRule type="containsText" dxfId="341" priority="12" operator="containsText" text="PENDING"/>
    <x:cfRule type="containsText" dxfId="342" priority="13" operator="containsText" text="SUSPENDED"/>
    <x:cfRule type="containsText" dxfId="343" priority="14" operator="containsText" text="TESTING"/>
    <x:cfRule type="containsText" dxfId="344" priority="15" operator="containsText" text="PARTIAL_FAILURE"/>
    <x:cfRule type="containsText" dxfId="345" priority="16" operator="containsText" text="LOW_STOCK"/>
    <x:cfRule type="containsText" dxfId="346" priority="17" operator="containsText" text="ACTIVE"/>
    <x:cfRule type="containsText" dxfId="347" priority="18" operator="containsText" text="VALID"/>
    <x:cfRule type="containsText" dxfId="348" priority="19" operator="containsText" text="SUCCESS"/>
    <x:cfRule type="containsText" dxfId="349" priority="20" operator="containsText" text="COMPLETED"/>
    <x:cfRule type="containsText" dxfId="350" priority="21" operator="containsText" text="CLOSED"/>
    <x:cfRule type="containsText" dxfId="351" priority="22" operator="containsText" text="CONNECTED"/>
    <x:cfRule type="containsText" dxfId="352" priority="23" operator="containsText" text="NORMAL"/>
    <x:cfRule type="containsText" dxfId="353" priority="24" operator="containsText" text="VERIFIED"/>
    <x:cfRule type="containsText" dxfId="354" priority="25" operator="containsText" text="RESOLVED"/>
    <x:cfRule type="containsText" dxfId="355" priority="26" operator="containsText" text="PASS"/>
    <x:cfRule type="containsText" dxfId="356" priority="27" operator="containsText" text="OK"/>
    <x:cfRule type="containsText" dxfId="357" priority="28" operator="containsText" text="INFO"/>
    <x:cfRule type="containsText" dxfId="358" priority="29" operator="containsText" text="DRAFT"/>
    <x:cfRule type="containsText" dxfId="359" priority="30" operator="containsText" text="SCHEDULED"/>
    <x:cfRule type="containsText" dxfId="360" priority="31" operator="containsText" text="IN_PROGRESS"/>
    <x:cfRule type="containsText" dxfId="361" priority="32" operator="containsText" text="MODEL_REVIEW"/>
    <x:cfRule type="containsText" dxfId="362" priority="33" operator="containsText" text="READ"/>
  </x:conditionalFormatting>
  <x:dataValidations count="1">
    <x:dataValidation type="list" sqref="I5:I16">
      <x:formula1>"CURRENT,DUE_SOON,EXPIRED,MISSING_CURRENT_VERSION"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1ab7afdca641b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13" hidden="0" customWidth="1"/>
  </x:cols>
  <x:sheetData>
    <x:row r="1" ht="32" customHeight="1">
      <x:c r="A1" s="17" t="str">
        <x:v>ESCA HSE | Medical_Protocols</x:v>
      </x:c>
      <x:c r="B1" s="17" t="str">
        <x:v>ESCA HSE | Medical_Protocols</x:v>
      </x:c>
      <x:c r="C1" s="17" t="str">
        <x:v>ESCA HSE | Medical_Protocols</x:v>
      </x:c>
      <x:c r="D1" s="17" t="str">
        <x:v>ESCA HSE | Medical_Protocols</x:v>
      </x:c>
      <x:c r="E1" s="17" t="str">
        <x:v>ESCA HSE | Medical_Protocols</x:v>
      </x:c>
      <x:c r="F1" s="17" t="str">
        <x:v>ESCA HSE | Medical_Protocols</x:v>
      </x:c>
    </x:row>
    <x:row r="2" ht="28" customHeight="1">
      <x:c r="A2" s="21" t="str">
        <x:v>Occupational health protocols | Owner: Member 2 | Synthetic sample data | Snapshot: 2026-08-13</x:v>
      </x:c>
      <x:c r="B2" s="21" t="str">
        <x:v>Occupational health protocols | Owner: Member 2 | Synthetic sample data | Snapshot: 2026-08-13</x:v>
      </x:c>
      <x:c r="C2" s="21" t="str">
        <x:v>Occupational health protocols | Owner: Member 2 | Synthetic sample data | Snapshot: 2026-08-13</x:v>
      </x:c>
      <x:c r="D2" s="21" t="str">
        <x:v>Occupational health protocols | Owner: Member 2 | Synthetic sample data | Snapshot: 2026-08-13</x:v>
      </x:c>
      <x:c r="E2" s="21" t="str">
        <x:v>Occupational health protocols | Owner: Member 2 | Synthetic sample data | Snapshot: 2026-08-13</x:v>
      </x:c>
      <x:c r="F2" s="21" t="str">
        <x:v>Occupational health protocols | Owner: Member 2 | Synthetic sample data | Snapshot: 2026-08-13</x:v>
      </x:c>
    </x:row>
    <x:row r="4" ht="30" customHeight="1">
      <x:c r="A4" s="26" t="str">
        <x:v>protocol_id</x:v>
      </x:c>
      <x:c r="B4" s="26" t="str">
        <x:v>exposure_type</x:v>
      </x:c>
      <x:c r="C4" s="26" t="str">
        <x:v>exam_type</x:v>
      </x:c>
      <x:c r="D4" s="26" t="str">
        <x:v>frequency_months</x:v>
      </x:c>
      <x:c r="E4" s="26" t="str">
        <x:v>target_group</x:v>
      </x:c>
      <x:c r="F4" s="26" t="str">
        <x:v>active_flag</x:v>
      </x:c>
    </x:row>
    <x:row r="5" ht="24" customHeight="1">
      <x:c r="A5" s="32" t="str">
        <x:v>MEDP-001</x:v>
      </x:c>
      <x:c r="B5" s="32" t="str">
        <x:v>NOISE</x:v>
      </x:c>
      <x:c r="C5" s="32" t="str">
        <x:v>Audiometry</x:v>
      </x:c>
      <x:c r="D5" s="33" t="n">
        <x:v>12</x:v>
      </x:c>
      <x:c r="E5" s="32" t="str">
        <x:v>NOISE_EXPOSED</x:v>
      </x:c>
      <x:c r="F5" s="34" t="b">
        <x:v>1</x:v>
      </x:c>
    </x:row>
    <x:row r="6" ht="24" customHeight="1">
      <x:c r="A6" s="35" t="str">
        <x:v>MEDP-002</x:v>
      </x:c>
      <x:c r="B6" s="35" t="str">
        <x:v>CHEMICALS</x:v>
      </x:c>
      <x:c r="C6" s="35" t="str">
        <x:v>Respiratory and skin review</x:v>
      </x:c>
      <x:c r="D6" s="36" t="n">
        <x:v>12</x:v>
      </x:c>
      <x:c r="E6" s="35" t="str">
        <x:v>CHEMICAL_HANDLERS</x:v>
      </x:c>
      <x:c r="F6" s="37" t="b">
        <x:v>1</x:v>
      </x:c>
    </x:row>
    <x:row r="7" ht="24" customHeight="1">
      <x:c r="A7" s="35" t="str">
        <x:v>MEDP-003</x:v>
      </x:c>
      <x:c r="B7" s="35" t="str">
        <x:v>VISION</x:v>
      </x:c>
      <x:c r="C7" s="35" t="str">
        <x:v>Vision screening</x:v>
      </x:c>
      <x:c r="D7" s="36" t="n">
        <x:v>24</x:v>
      </x:c>
      <x:c r="E7" s="35" t="str">
        <x:v>FORKLIFT_OPERATORS</x:v>
      </x:c>
      <x:c r="F7" s="37" t="b">
        <x:v>1</x:v>
      </x:c>
    </x:row>
    <x:row r="8" ht="24" customHeight="1">
      <x:c r="A8" s="35" t="str">
        <x:v>MEDP-004</x:v>
      </x:c>
      <x:c r="B8" s="35" t="str">
        <x:v>RESPIRATOR</x:v>
      </x:c>
      <x:c r="C8" s="35" t="str">
        <x:v>Fit-to-wear assessment</x:v>
      </x:c>
      <x:c r="D8" s="36" t="n">
        <x:v>12</x:v>
      </x:c>
      <x:c r="E8" s="35" t="str">
        <x:v>RESPIRATOR_USERS</x:v>
      </x:c>
      <x:c r="F8" s="37" t="b">
        <x:v>1</x:v>
      </x:c>
    </x:row>
    <x:row r="9" ht="24" customHeight="1">
      <x:c r="A9" s="35" t="str">
        <x:v>MEDP-005</x:v>
      </x:c>
      <x:c r="B9" s="35" t="str">
        <x:v>HEAT</x:v>
      </x:c>
      <x:c r="C9" s="35" t="str">
        <x:v>Heat-stress fitness review</x:v>
      </x:c>
      <x:c r="D9" s="36" t="n">
        <x:v>12</x:v>
      </x:c>
      <x:c r="E9" s="35" t="str">
        <x:v>HEAT_EXPOSED</x:v>
      </x:c>
      <x:c r="F9" s="37" t="b">
        <x:v>1</x:v>
      </x:c>
    </x:row>
    <x:row r="10" ht="24" customHeight="1">
      <x:c r="A10" s="35" t="str">
        <x:v>MEDP-006</x:v>
      </x:c>
      <x:c r="B10" s="35" t="str">
        <x:v>GENERAL</x:v>
      </x:c>
      <x:c r="C10" s="35" t="str">
        <x:v>Periodic medical examination</x:v>
      </x:c>
      <x:c r="D10" s="36" t="n">
        <x:v>12</x:v>
      </x:c>
      <x:c r="E10" s="35" t="str">
        <x:v>ALL_EMPLOYEES</x:v>
      </x:c>
      <x:c r="F10" s="37" t="b">
        <x:v>1</x:v>
      </x:c>
    </x:row>
    <x:row r="11" ht="24" customHeight="1">
      <x:c r="A11" s="35" t="str">
        <x:v>MEDP-007</x:v>
      </x:c>
      <x:c r="B11" s="35" t="str">
        <x:v>WORK_AT_HEIGHT</x:v>
      </x:c>
      <x:c r="C11" s="35" t="str">
        <x:v>Work-at-height fitness</x:v>
      </x:c>
      <x:c r="D11" s="36" t="n">
        <x:v>12</x:v>
      </x:c>
      <x:c r="E11" s="35" t="str">
        <x:v>WAH_WORKERS</x:v>
      </x:c>
      <x:c r="F11" s="37" t="b">
        <x:v>1</x:v>
      </x:c>
    </x:row>
    <x:row r="12" ht="24" customHeight="1">
      <x:c r="A12" s="38" t="str">
        <x:v>MEDP-008</x:v>
      </x:c>
      <x:c r="B12" s="38" t="str">
        <x:v>CONFINED_SPACE</x:v>
      </x:c>
      <x:c r="C12" s="38" t="str">
        <x:v>Confined-space fitness</x:v>
      </x:c>
      <x:c r="D12" s="39" t="n">
        <x:v>12</x:v>
      </x:c>
      <x:c r="E12" s="38" t="str">
        <x:v>CS_WORKERS</x:v>
      </x:c>
      <x:c r="F12" s="40" t="b">
        <x:v>1</x:v>
      </x:c>
    </x:row>
  </x:sheetData>
  <x:mergeCells>
    <x:mergeCell ref="A1:F1"/>
    <x:mergeCell ref="A2:F2"/>
  </x:mergeCells>
  <x:conditionalFormatting sqref="F5:F12">
    <x:cfRule type="containsText" dxfId="363" priority="1" operator="containsText" text="CRITICAL"/>
    <x:cfRule type="containsText" dxfId="364" priority="2" operator="containsText" text="EXPIRED"/>
    <x:cfRule type="containsText" dxfId="365" priority="3" operator="containsText" text="FAILED"/>
    <x:cfRule type="containsText" dxfId="366" priority="4" operator="containsText" text="OVERDUE"/>
    <x:cfRule type="containsText" dxfId="367" priority="5" operator="containsText" text="REJECTED"/>
    <x:cfRule type="containsText" dxfId="368" priority="6" operator="containsText" text="OUT_OF_SERVICE"/>
    <x:cfRule type="containsText" dxfId="369" priority="7" operator="containsText" text="BELOW_THRESHOLD"/>
    <x:cfRule type="containsText" dxfId="370" priority="8" operator="containsText" text="HIGH"/>
    <x:cfRule type="containsText" dxfId="371" priority="9" operator="containsText" text="WARNING"/>
    <x:cfRule type="containsText" dxfId="372" priority="10" operator="containsText" text="DUE_SOON"/>
    <x:cfRule type="containsText" dxfId="373" priority="11" operator="containsText" text="OPEN"/>
    <x:cfRule type="containsText" dxfId="374" priority="12" operator="containsText" text="PENDING"/>
    <x:cfRule type="containsText" dxfId="375" priority="13" operator="containsText" text="SUSPENDED"/>
    <x:cfRule type="containsText" dxfId="376" priority="14" operator="containsText" text="TESTING"/>
    <x:cfRule type="containsText" dxfId="377" priority="15" operator="containsText" text="PARTIAL_FAILURE"/>
    <x:cfRule type="containsText" dxfId="378" priority="16" operator="containsText" text="LOW_STOCK"/>
    <x:cfRule type="containsText" dxfId="379" priority="17" operator="containsText" text="ACTIVE"/>
    <x:cfRule type="containsText" dxfId="380" priority="18" operator="containsText" text="VALID"/>
    <x:cfRule type="containsText" dxfId="381" priority="19" operator="containsText" text="SUCCESS"/>
    <x:cfRule type="containsText" dxfId="382" priority="20" operator="containsText" text="COMPLETED"/>
    <x:cfRule type="containsText" dxfId="383" priority="21" operator="containsText" text="CLOSED"/>
    <x:cfRule type="containsText" dxfId="384" priority="22" operator="containsText" text="CONNECTED"/>
    <x:cfRule type="containsText" dxfId="385" priority="23" operator="containsText" text="NORMAL"/>
    <x:cfRule type="containsText" dxfId="386" priority="24" operator="containsText" text="VERIFIED"/>
    <x:cfRule type="containsText" dxfId="387" priority="25" operator="containsText" text="RESOLVED"/>
    <x:cfRule type="containsText" dxfId="388" priority="26" operator="containsText" text="PASS"/>
    <x:cfRule type="containsText" dxfId="389" priority="27" operator="containsText" text="OK"/>
    <x:cfRule type="containsText" dxfId="390" priority="28" operator="containsText" text="INFO"/>
    <x:cfRule type="containsText" dxfId="391" priority="29" operator="containsText" text="DRAFT"/>
    <x:cfRule type="containsText" dxfId="392" priority="30" operator="containsText" text="SCHEDULED"/>
    <x:cfRule type="containsText" dxfId="393" priority="31" operator="containsText" text="IN_PROGRESS"/>
    <x:cfRule type="containsText" dxfId="394" priority="32" operator="containsText" text="MODEL_REVIEW"/>
    <x:cfRule type="containsText" dxfId="395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ba7c3532152b40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3" hidden="0" customWidth="1"/>
  </x:cols>
  <x:sheetData>
    <x:row r="1" ht="32" customHeight="1">
      <x:c r="A1" s="17" t="str">
        <x:v>ESCA HSE | Employee_Exposures</x:v>
      </x:c>
      <x:c r="B1" s="17" t="str">
        <x:v>ESCA HSE | Employee_Exposures</x:v>
      </x:c>
      <x:c r="C1" s="17" t="str">
        <x:v>ESCA HSE | Employee_Exposures</x:v>
      </x:c>
      <x:c r="D1" s="17" t="str">
        <x:v>ESCA HSE | Employee_Exposures</x:v>
      </x:c>
      <x:c r="E1" s="17" t="str">
        <x:v>ESCA HSE | Employee_Exposures</x:v>
      </x:c>
      <x:c r="F1" s="17" t="str">
        <x:v>ESCA HSE | Employee_Exposures</x:v>
      </x:c>
      <x:c r="G1" s="17" t="str">
        <x:v>ESCA HSE | Employee_Exposures</x:v>
      </x:c>
      <x:c r="H1" s="17" t="str">
        <x:v>ESCA HSE | Employee_Exposures</x:v>
      </x:c>
      <x:c r="I1" s="17" t="str">
        <x:v>ESCA HSE | Employee_Exposures</x:v>
      </x:c>
      <x:c r="J1" s="17" t="str">
        <x:v>ESCA HSE | Employee_Exposures</x:v>
      </x:c>
    </x:row>
    <x:row r="2" ht="28" customHeight="1">
      <x:c r="A2" s="21" t="str">
        <x:v>Synthetic exposure-to-medical-protocol assignments | Owner: Member 2 | Synthetic sample data | Snapshot: 2026-08-13</x:v>
      </x:c>
      <x:c r="B2" s="21" t="str">
        <x:v>Synthetic exposure-to-medical-protocol assignments | Owner: Member 2 | Synthetic sample data | Snapshot: 2026-08-13</x:v>
      </x:c>
      <x:c r="C2" s="21" t="str">
        <x:v>Synthetic exposure-to-medical-protocol assignments | Owner: Member 2 | Synthetic sample data | Snapshot: 2026-08-13</x:v>
      </x:c>
      <x:c r="D2" s="21" t="str">
        <x:v>Synthetic exposure-to-medical-protocol assignments | Owner: Member 2 | Synthetic sample data | Snapshot: 2026-08-13</x:v>
      </x:c>
      <x:c r="E2" s="21" t="str">
        <x:v>Synthetic exposure-to-medical-protocol assignments | Owner: Member 2 | Synthetic sample data | Snapshot: 2026-08-13</x:v>
      </x:c>
      <x:c r="F2" s="21" t="str">
        <x:v>Synthetic exposure-to-medical-protocol assignments | Owner: Member 2 | Synthetic sample data | Snapshot: 2026-08-13</x:v>
      </x:c>
      <x:c r="G2" s="21" t="str">
        <x:v>Synthetic exposure-to-medical-protocol assignments | Owner: Member 2 | Synthetic sample data | Snapshot: 2026-08-13</x:v>
      </x:c>
      <x:c r="H2" s="21" t="str">
        <x:v>Synthetic exposure-to-medical-protocol assignments | Owner: Member 2 | Synthetic sample data | Snapshot: 2026-08-13</x:v>
      </x:c>
      <x:c r="I2" s="21" t="str">
        <x:v>Synthetic exposure-to-medical-protocol assignments | Owner: Member 2 | Synthetic sample data | Snapshot: 2026-08-13</x:v>
      </x:c>
      <x:c r="J2" s="21" t="str">
        <x:v>Synthetic exposure-to-medical-protocol assignments | Owner: Member 2 | Synthetic sample data | Snapshot: 2026-08-13</x:v>
      </x:c>
    </x:row>
    <x:row r="4" ht="30" customHeight="1">
      <x:c r="A4" s="26" t="str">
        <x:v>exposure_id</x:v>
      </x:c>
      <x:c r="B4" s="26" t="str">
        <x:v>employee_id</x:v>
      </x:c>
      <x:c r="C4" s="26" t="str">
        <x:v>protocol_id</x:v>
      </x:c>
      <x:c r="D4" s="26" t="str">
        <x:v>zone_id</x:v>
      </x:c>
      <x:c r="E4" s="26" t="str">
        <x:v>exposure_type</x:v>
      </x:c>
      <x:c r="F4" s="26" t="str">
        <x:v>exposure_value</x:v>
      </x:c>
      <x:c r="G4" s="26" t="str">
        <x:v>unit</x:v>
      </x:c>
      <x:c r="H4" s="26" t="str">
        <x:v>assessment_date</x:v>
      </x:c>
      <x:c r="I4" s="26" t="str">
        <x:v>control_status</x:v>
      </x:c>
      <x:c r="J4" s="26" t="str">
        <x:v>active_flag</x:v>
      </x:c>
    </x:row>
    <x:row r="5" ht="24" customHeight="1">
      <x:c r="A5" s="32" t="str">
        <x:v>EXP-001</x:v>
      </x:c>
      <x:c r="B5" s="32" t="str">
        <x:v>EMP-017</x:v>
      </x:c>
      <x:c r="C5" s="32" t="str">
        <x:v>MEDP-001</x:v>
      </x:c>
      <x:c r="D5" s="32" t="str">
        <x:v>ZN-A1</x:v>
      </x:c>
      <x:c r="E5" s="32" t="str">
        <x:v>NOISE</x:v>
      </x:c>
      <x:c r="F5" s="50" t="n">
        <x:v>89</x:v>
      </x:c>
      <x:c r="G5" s="32" t="str">
        <x:v>dB(A)</x:v>
      </x:c>
      <x:c r="H5" s="42" t="n">
        <x:v>46174</x:v>
      </x:c>
      <x:c r="I5" s="32" t="str">
        <x:v>CONTROLLED_WITH_PPE</x:v>
      </x:c>
      <x:c r="J5" s="34" t="b">
        <x:v>1</x:v>
      </x:c>
    </x:row>
    <x:row r="6" ht="24" customHeight="1">
      <x:c r="A6" s="35" t="str">
        <x:v>EXP-002</x:v>
      </x:c>
      <x:c r="B6" s="35" t="str">
        <x:v>EMP-019</x:v>
      </x:c>
      <x:c r="C6" s="35" t="str">
        <x:v>MEDP-001</x:v>
      </x:c>
      <x:c r="D6" s="35" t="str">
        <x:v>ZN-B1</x:v>
      </x:c>
      <x:c r="E6" s="35" t="str">
        <x:v>NOISE</x:v>
      </x:c>
      <x:c r="F6" s="51" t="n">
        <x:v>87</x:v>
      </x:c>
      <x:c r="G6" s="35" t="str">
        <x:v>dB(A)</x:v>
      </x:c>
      <x:c r="H6" s="43" t="n">
        <x:v>46174</x:v>
      </x:c>
      <x:c r="I6" s="35" t="str">
        <x:v>CONTROLLED_WITH_PPE</x:v>
      </x:c>
      <x:c r="J6" s="37" t="b">
        <x:v>1</x:v>
      </x:c>
    </x:row>
    <x:row r="7" ht="24" customHeight="1">
      <x:c r="A7" s="35" t="str">
        <x:v>EXP-003</x:v>
      </x:c>
      <x:c r="B7" s="35" t="str">
        <x:v>EMP-021</x:v>
      </x:c>
      <x:c r="C7" s="35" t="str">
        <x:v>MEDP-002</x:v>
      </x:c>
      <x:c r="D7" s="35" t="str">
        <x:v>ZN-M01</x:v>
      </x:c>
      <x:c r="E7" s="35" t="str">
        <x:v>CHEMICALS</x:v>
      </x:c>
      <x:c r="F7" s="51"/>
      <x:c r="G7" s="35" t="str">
        <x:v>TASK_BASED</x:v>
      </x:c>
      <x:c r="H7" s="43" t="n">
        <x:v>46174</x:v>
      </x:c>
      <x:c r="I7" s="35" t="str">
        <x:v>VENTILATION_AND_RESPIRATOR</x:v>
      </x:c>
      <x:c r="J7" s="37" t="b">
        <x:v>1</x:v>
      </x:c>
    </x:row>
    <x:row r="8" ht="24" customHeight="1">
      <x:c r="A8" s="35" t="str">
        <x:v>EXP-004</x:v>
      </x:c>
      <x:c r="B8" s="35" t="str">
        <x:v>EMP-022</x:v>
      </x:c>
      <x:c r="C8" s="35" t="str">
        <x:v>MEDP-004</x:v>
      </x:c>
      <x:c r="D8" s="35" t="str">
        <x:v>ZN-M01</x:v>
      </x:c>
      <x:c r="E8" s="35" t="str">
        <x:v>RESPIRATOR</x:v>
      </x:c>
      <x:c r="F8" s="51"/>
      <x:c r="G8" s="35" t="str">
        <x:v>TASK_BASED</x:v>
      </x:c>
      <x:c r="H8" s="43" t="n">
        <x:v>46174</x:v>
      </x:c>
      <x:c r="I8" s="35" t="str">
        <x:v>FIT_TEST_REQUIRED</x:v>
      </x:c>
      <x:c r="J8" s="37" t="b">
        <x:v>1</x:v>
      </x:c>
    </x:row>
    <x:row r="9" ht="24" customHeight="1">
      <x:c r="A9" s="35" t="str">
        <x:v>EXP-005</x:v>
      </x:c>
      <x:c r="B9" s="35" t="str">
        <x:v>EMP-026</x:v>
      </x:c>
      <x:c r="C9" s="35" t="str">
        <x:v>MEDP-006</x:v>
      </x:c>
      <x:c r="D9" s="35" t="str">
        <x:v>ZN-U01</x:v>
      </x:c>
      <x:c r="E9" s="35" t="str">
        <x:v>ELECTRICAL</x:v>
      </x:c>
      <x:c r="F9" s="51"/>
      <x:c r="G9" s="35" t="str">
        <x:v>CONTROLLED_AREA</x:v>
      </x:c>
      <x:c r="H9" s="43" t="n">
        <x:v>46174</x:v>
      </x:c>
      <x:c r="I9" s="35" t="str">
        <x:v>ACCESS_CONTROL</x:v>
      </x:c>
      <x:c r="J9" s="37" t="b">
        <x:v>1</x:v>
      </x:c>
    </x:row>
    <x:row r="10" ht="24" customHeight="1">
      <x:c r="A10" s="35" t="str">
        <x:v>EXP-006</x:v>
      </x:c>
      <x:c r="B10" s="35" t="str">
        <x:v>EMP-018</x:v>
      </x:c>
      <x:c r="C10" s="35" t="str">
        <x:v>MEDP-005</x:v>
      </x:c>
      <x:c r="D10" s="35" t="str">
        <x:v>ZN-A2</x:v>
      </x:c>
      <x:c r="E10" s="35" t="str">
        <x:v>HEAT</x:v>
      </x:c>
      <x:c r="F10" s="51" t="n">
        <x:v>29.4</x:v>
      </x:c>
      <x:c r="G10" s="35" t="str">
        <x:v>WBGT C</x:v>
      </x:c>
      <x:c r="H10" s="43" t="n">
        <x:v>46174</x:v>
      </x:c>
      <x:c r="I10" s="35" t="str">
        <x:v>WORK_REST_HYDRATION</x:v>
      </x:c>
      <x:c r="J10" s="37" t="b">
        <x:v>1</x:v>
      </x:c>
    </x:row>
    <x:row r="11" ht="24" customHeight="1">
      <x:c r="A11" s="35" t="str">
        <x:v>EXP-007</x:v>
      </x:c>
      <x:c r="B11" s="35" t="str">
        <x:v>EMP-023</x:v>
      </x:c>
      <x:c r="C11" s="35" t="str">
        <x:v>MEDP-003</x:v>
      </x:c>
      <x:c r="D11" s="35" t="str">
        <x:v>ZN-W01</x:v>
      </x:c>
      <x:c r="E11" s="35" t="str">
        <x:v>VISION</x:v>
      </x:c>
      <x:c r="F11" s="51"/>
      <x:c r="G11" s="35" t="str">
        <x:v>AUTHORIZED_DRIVER</x:v>
      </x:c>
      <x:c r="H11" s="43" t="n">
        <x:v>46174</x:v>
      </x:c>
      <x:c r="I11" s="35" t="str">
        <x:v>LICENSE_AND_REVIEW</x:v>
      </x:c>
      <x:c r="J11" s="37" t="b">
        <x:v>1</x:v>
      </x:c>
    </x:row>
    <x:row r="12" ht="24" customHeight="1">
      <x:c r="A12" s="35" t="str">
        <x:v>EXP-008</x:v>
      </x:c>
      <x:c r="B12" s="35" t="str">
        <x:v>EMP-027</x:v>
      </x:c>
      <x:c r="C12" s="35" t="str">
        <x:v>MEDP-008</x:v>
      </x:c>
      <x:c r="D12" s="35" t="str">
        <x:v>ZN-U02</x:v>
      </x:c>
      <x:c r="E12" s="35" t="str">
        <x:v>CONFINED_SPACE</x:v>
      </x:c>
      <x:c r="F12" s="51"/>
      <x:c r="G12" s="35" t="str">
        <x:v>TASK_BASED</x:v>
      </x:c>
      <x:c r="H12" s="43" t="n">
        <x:v>46174</x:v>
      </x:c>
      <x:c r="I12" s="35" t="str">
        <x:v>PTW_AND_GAS_TEST</x:v>
      </x:c>
      <x:c r="J12" s="37" t="b">
        <x:v>1</x:v>
      </x:c>
    </x:row>
    <x:row r="13" ht="24" customHeight="1">
      <x:c r="A13" s="35" t="str">
        <x:v>EXP-009</x:v>
      </x:c>
      <x:c r="B13" s="35" t="str">
        <x:v>EMP-029</x:v>
      </x:c>
      <x:c r="C13" s="35" t="str">
        <x:v>MEDP-007</x:v>
      </x:c>
      <x:c r="D13" s="35" t="str">
        <x:v>ZN-M01</x:v>
      </x:c>
      <x:c r="E13" s="35" t="str">
        <x:v>WORK_AT_HEIGHT</x:v>
      </x:c>
      <x:c r="F13" s="51"/>
      <x:c r="G13" s="35" t="str">
        <x:v>TASK_BASED</x:v>
      </x:c>
      <x:c r="H13" s="43" t="n">
        <x:v>46174</x:v>
      </x:c>
      <x:c r="I13" s="35" t="str">
        <x:v>PTW_AND_FALL_PROTECTION</x:v>
      </x:c>
      <x:c r="J13" s="37" t="b">
        <x:v>1</x:v>
      </x:c>
    </x:row>
    <x:row r="14" ht="24" customHeight="1">
      <x:c r="A14" s="38" t="str">
        <x:v>EXP-010</x:v>
      </x:c>
      <x:c r="B14" s="38" t="str">
        <x:v>EMP-034</x:v>
      </x:c>
      <x:c r="C14" s="38" t="str">
        <x:v>MEDP-002</x:v>
      </x:c>
      <x:c r="D14" s="38" t="str">
        <x:v>ZN-Q01</x:v>
      </x:c>
      <x:c r="E14" s="38" t="str">
        <x:v>CHEMICALS</x:v>
      </x:c>
      <x:c r="F14" s="52"/>
      <x:c r="G14" s="38" t="str">
        <x:v>TASK_BASED</x:v>
      </x:c>
      <x:c r="H14" s="44" t="n">
        <x:v>46174</x:v>
      </x:c>
      <x:c r="I14" s="38" t="str">
        <x:v>FUME_HOOD_AND_GLOVES</x:v>
      </x:c>
      <x:c r="J14" s="40" t="b">
        <x:v>1</x:v>
      </x:c>
    </x:row>
  </x:sheetData>
  <x:mergeCells>
    <x:mergeCell ref="A1:J1"/>
    <x:mergeCell ref="A2:J2"/>
  </x:mergeCells>
  <x:conditionalFormatting sqref="I5:I14">
    <x:cfRule type="containsText" dxfId="396" priority="1" operator="containsText" text="CRITICAL"/>
    <x:cfRule type="containsText" dxfId="397" priority="2" operator="containsText" text="EXPIRED"/>
    <x:cfRule type="containsText" dxfId="398" priority="3" operator="containsText" text="FAILED"/>
    <x:cfRule type="containsText" dxfId="399" priority="4" operator="containsText" text="OVERDUE"/>
    <x:cfRule type="containsText" dxfId="400" priority="5" operator="containsText" text="REJECTED"/>
    <x:cfRule type="containsText" dxfId="401" priority="6" operator="containsText" text="OUT_OF_SERVICE"/>
    <x:cfRule type="containsText" dxfId="402" priority="7" operator="containsText" text="BELOW_THRESHOLD"/>
    <x:cfRule type="containsText" dxfId="403" priority="8" operator="containsText" text="HIGH"/>
    <x:cfRule type="containsText" dxfId="404" priority="9" operator="containsText" text="WARNING"/>
    <x:cfRule type="containsText" dxfId="405" priority="10" operator="containsText" text="DUE_SOON"/>
    <x:cfRule type="containsText" dxfId="406" priority="11" operator="containsText" text="OPEN"/>
    <x:cfRule type="containsText" dxfId="407" priority="12" operator="containsText" text="PENDING"/>
    <x:cfRule type="containsText" dxfId="408" priority="13" operator="containsText" text="SUSPENDED"/>
    <x:cfRule type="containsText" dxfId="409" priority="14" operator="containsText" text="TESTING"/>
    <x:cfRule type="containsText" dxfId="410" priority="15" operator="containsText" text="PARTIAL_FAILURE"/>
    <x:cfRule type="containsText" dxfId="411" priority="16" operator="containsText" text="LOW_STOCK"/>
    <x:cfRule type="containsText" dxfId="412" priority="17" operator="containsText" text="ACTIVE"/>
    <x:cfRule type="containsText" dxfId="413" priority="18" operator="containsText" text="VALID"/>
    <x:cfRule type="containsText" dxfId="414" priority="19" operator="containsText" text="SUCCESS"/>
    <x:cfRule type="containsText" dxfId="415" priority="20" operator="containsText" text="COMPLETED"/>
    <x:cfRule type="containsText" dxfId="416" priority="21" operator="containsText" text="CLOSED"/>
    <x:cfRule type="containsText" dxfId="417" priority="22" operator="containsText" text="CONNECTED"/>
    <x:cfRule type="containsText" dxfId="418" priority="23" operator="containsText" text="NORMAL"/>
    <x:cfRule type="containsText" dxfId="419" priority="24" operator="containsText" text="VERIFIED"/>
    <x:cfRule type="containsText" dxfId="420" priority="25" operator="containsText" text="RESOLVED"/>
    <x:cfRule type="containsText" dxfId="421" priority="26" operator="containsText" text="PASS"/>
    <x:cfRule type="containsText" dxfId="422" priority="27" operator="containsText" text="OK"/>
    <x:cfRule type="containsText" dxfId="423" priority="28" operator="containsText" text="INFO"/>
    <x:cfRule type="containsText" dxfId="424" priority="29" operator="containsText" text="DRAFT"/>
    <x:cfRule type="containsText" dxfId="425" priority="30" operator="containsText" text="SCHEDULED"/>
    <x:cfRule type="containsText" dxfId="426" priority="31" operator="containsText" text="IN_PROGRESS"/>
    <x:cfRule type="containsText" dxfId="427" priority="32" operator="containsText" text="MODEL_REVIEW"/>
    <x:cfRule type="containsText" dxfId="428" priority="33" operator="containsText" text="READ"/>
  </x:conditionalFormatting>
  <x:conditionalFormatting sqref="J5:J14">
    <x:cfRule type="containsText" dxfId="429" priority="34" operator="containsText" text="CRITICAL"/>
    <x:cfRule type="containsText" dxfId="430" priority="35" operator="containsText" text="EXPIRED"/>
    <x:cfRule type="containsText" dxfId="431" priority="36" operator="containsText" text="FAILED"/>
    <x:cfRule type="containsText" dxfId="432" priority="37" operator="containsText" text="OVERDUE"/>
    <x:cfRule type="containsText" dxfId="433" priority="38" operator="containsText" text="REJECTED"/>
    <x:cfRule type="containsText" dxfId="434" priority="39" operator="containsText" text="OUT_OF_SERVICE"/>
    <x:cfRule type="containsText" dxfId="435" priority="40" operator="containsText" text="BELOW_THRESHOLD"/>
    <x:cfRule type="containsText" dxfId="436" priority="41" operator="containsText" text="HIGH"/>
    <x:cfRule type="containsText" dxfId="437" priority="42" operator="containsText" text="WARNING"/>
    <x:cfRule type="containsText" dxfId="438" priority="43" operator="containsText" text="DUE_SOON"/>
    <x:cfRule type="containsText" dxfId="439" priority="44" operator="containsText" text="OPEN"/>
    <x:cfRule type="containsText" dxfId="440" priority="45" operator="containsText" text="PENDING"/>
    <x:cfRule type="containsText" dxfId="441" priority="46" operator="containsText" text="SUSPENDED"/>
    <x:cfRule type="containsText" dxfId="442" priority="47" operator="containsText" text="TESTING"/>
    <x:cfRule type="containsText" dxfId="443" priority="48" operator="containsText" text="PARTIAL_FAILURE"/>
    <x:cfRule type="containsText" dxfId="444" priority="49" operator="containsText" text="LOW_STOCK"/>
    <x:cfRule type="containsText" dxfId="445" priority="50" operator="containsText" text="ACTIVE"/>
    <x:cfRule type="containsText" dxfId="446" priority="51" operator="containsText" text="VALID"/>
    <x:cfRule type="containsText" dxfId="447" priority="52" operator="containsText" text="SUCCESS"/>
    <x:cfRule type="containsText" dxfId="448" priority="53" operator="containsText" text="COMPLETED"/>
    <x:cfRule type="containsText" dxfId="449" priority="54" operator="containsText" text="CLOSED"/>
    <x:cfRule type="containsText" dxfId="450" priority="55" operator="containsText" text="CONNECTED"/>
    <x:cfRule type="containsText" dxfId="451" priority="56" operator="containsText" text="NORMAL"/>
    <x:cfRule type="containsText" dxfId="452" priority="57" operator="containsText" text="VERIFIED"/>
    <x:cfRule type="containsText" dxfId="453" priority="58" operator="containsText" text="RESOLVED"/>
    <x:cfRule type="containsText" dxfId="454" priority="59" operator="containsText" text="PASS"/>
    <x:cfRule type="containsText" dxfId="455" priority="60" operator="containsText" text="OK"/>
    <x:cfRule type="containsText" dxfId="456" priority="61" operator="containsText" text="INFO"/>
    <x:cfRule type="containsText" dxfId="457" priority="62" operator="containsText" text="DRAFT"/>
    <x:cfRule type="containsText" dxfId="458" priority="63" operator="containsText" text="SCHEDULED"/>
    <x:cfRule type="containsText" dxfId="459" priority="64" operator="containsText" text="IN_PROGRESS"/>
    <x:cfRule type="containsText" dxfId="460" priority="65" operator="containsText" text="MODEL_REVIEW"/>
    <x:cfRule type="containsText" dxfId="461" priority="66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90d68b998c9747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34" hidden="0" customWidth="1"/>
    <x:col min="8" max="8" width="13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</x:cols>
  <x:sheetData>
    <x:row r="1" ht="32" customHeight="1">
      <x:c r="A1" s="17" t="str">
        <x:v>ESCA HSE | Health_Exams</x:v>
      </x:c>
      <x:c r="B1" s="17" t="str">
        <x:v>ESCA HSE | Health_Exams</x:v>
      </x:c>
      <x:c r="C1" s="17" t="str">
        <x:v>ESCA HSE | Health_Exams</x:v>
      </x:c>
      <x:c r="D1" s="17" t="str">
        <x:v>ESCA HSE | Health_Exams</x:v>
      </x:c>
      <x:c r="E1" s="17" t="str">
        <x:v>ESCA HSE | Health_Exams</x:v>
      </x:c>
      <x:c r="F1" s="17" t="str">
        <x:v>ESCA HSE | Health_Exams</x:v>
      </x:c>
      <x:c r="G1" s="17" t="str">
        <x:v>ESCA HSE | Health_Exams</x:v>
      </x:c>
      <x:c r="H1" s="17" t="str">
        <x:v>ESCA HSE | Health_Exams</x:v>
      </x:c>
      <x:c r="I1" s="17" t="str">
        <x:v>ESCA HSE | Health_Exams</x:v>
      </x:c>
      <x:c r="J1" s="17" t="str">
        <x:v>ESCA HSE | Health_Exams</x:v>
      </x:c>
      <x:c r="K1" s="17" t="str">
        <x:v>ESCA HSE | Health_Exams</x:v>
      </x:c>
      <x:c r="L1" s="17" t="str">
        <x:v>ESCA HSE | Health_Exams</x:v>
      </x:c>
    </x:row>
    <x:row r="2" ht="28" customHeight="1">
      <x:c r="A2" s="21" t="str">
        <x:v>Synthetic fitness exam schedule/results | Owner: Member 2 | Synthetic sample data | Snapshot: 2026-08-13</x:v>
      </x:c>
      <x:c r="B2" s="21" t="str">
        <x:v>Synthetic fitness exam schedule/results | Owner: Member 2 | Synthetic sample data | Snapshot: 2026-08-13</x:v>
      </x:c>
      <x:c r="C2" s="21" t="str">
        <x:v>Synthetic fitness exam schedule/results | Owner: Member 2 | Synthetic sample data | Snapshot: 2026-08-13</x:v>
      </x:c>
      <x:c r="D2" s="21" t="str">
        <x:v>Synthetic fitness exam schedule/results | Owner: Member 2 | Synthetic sample data | Snapshot: 2026-08-13</x:v>
      </x:c>
      <x:c r="E2" s="21" t="str">
        <x:v>Synthetic fitness exam schedule/results | Owner: Member 2 | Synthetic sample data | Snapshot: 2026-08-13</x:v>
      </x:c>
      <x:c r="F2" s="21" t="str">
        <x:v>Synthetic fitness exam schedule/results | Owner: Member 2 | Synthetic sample data | Snapshot: 2026-08-13</x:v>
      </x:c>
      <x:c r="G2" s="21" t="str">
        <x:v>Synthetic fitness exam schedule/results | Owner: Member 2 | Synthetic sample data | Snapshot: 2026-08-13</x:v>
      </x:c>
      <x:c r="H2" s="21" t="str">
        <x:v>Synthetic fitness exam schedule/results | Owner: Member 2 | Synthetic sample data | Snapshot: 2026-08-13</x:v>
      </x:c>
      <x:c r="I2" s="21" t="str">
        <x:v>Synthetic fitness exam schedule/results | Owner: Member 2 | Synthetic sample data | Snapshot: 2026-08-13</x:v>
      </x:c>
      <x:c r="J2" s="21" t="str">
        <x:v>Synthetic fitness exam schedule/results | Owner: Member 2 | Synthetic sample data | Snapshot: 2026-08-13</x:v>
      </x:c>
      <x:c r="K2" s="21" t="str">
        <x:v>Synthetic fitness exam schedule/results | Owner: Member 2 | Synthetic sample data | Snapshot: 2026-08-13</x:v>
      </x:c>
      <x:c r="L2" s="21" t="str">
        <x:v>Synthetic fitness exam schedule/results | Owner: Member 2 | Synthetic sample data | Snapshot: 2026-08-13</x:v>
      </x:c>
    </x:row>
    <x:row r="4" ht="30" customHeight="1">
      <x:c r="A4" s="26" t="str">
        <x:v>exam_id</x:v>
      </x:c>
      <x:c r="B4" s="26" t="str">
        <x:v>employee_id</x:v>
      </x:c>
      <x:c r="C4" s="26" t="str">
        <x:v>protocol_id</x:v>
      </x:c>
      <x:c r="D4" s="26" t="str">
        <x:v>scheduled_date</x:v>
      </x:c>
      <x:c r="E4" s="26" t="str">
        <x:v>completed_date</x:v>
      </x:c>
      <x:c r="F4" s="26" t="str">
        <x:v>fitness_result</x:v>
      </x:c>
      <x:c r="G4" s="26" t="str">
        <x:v>restriction_summary</x:v>
      </x:c>
      <x:c r="H4" s="26" t="str">
        <x:v>next_due_date</x:v>
      </x:c>
      <x:c r="I4" s="26" t="str">
        <x:v>status</x:v>
      </x:c>
      <x:c r="J4" s="26" t="str">
        <x:v>clinician_alias</x:v>
      </x:c>
      <x:c r="K4" s="26" t="str">
        <x:v>confidentiality_level</x:v>
      </x:c>
      <x:c r="L4" s="26" t="str">
        <x:v>days_overdue</x:v>
      </x:c>
    </x:row>
    <x:row r="5" ht="24" customHeight="1">
      <x:c r="A5" s="32" t="str">
        <x:v>HEX-001</x:v>
      </x:c>
      <x:c r="B5" s="32" t="str">
        <x:v>EMP-017</x:v>
      </x:c>
      <x:c r="C5" s="32" t="str">
        <x:v>MEDP-001</x:v>
      </x:c>
      <x:c r="D5" s="42" t="n">
        <x:v>46244</x:v>
      </x:c>
      <x:c r="E5" s="42"/>
      <x:c r="F5" s="32"/>
      <x:c r="G5" s="53"/>
      <x:c r="H5" s="42" t="n">
        <x:v>46244</x:v>
      </x:c>
      <x:c r="I5" s="32" t="str">
        <x:v>OVERDUE</x:v>
      </x:c>
      <x:c r="J5" s="32" t="str">
        <x:v>CLINICIAN-01</x:v>
      </x:c>
      <x:c r="K5" s="32" t="str">
        <x:v>RESTRICTED</x:v>
      </x:c>
      <x:c r="L5" s="32" t="n">
        <x:f>IF(I5="OVERDUE",MAX(0,'Summary'!$B$3-D5),0)</x:f>
        <x:v>3</x:v>
      </x:c>
    </x:row>
    <x:row r="6" ht="24" customHeight="1">
      <x:c r="A6" s="35" t="str">
        <x:v>HEX-002</x:v>
      </x:c>
      <x:c r="B6" s="35" t="str">
        <x:v>EMP-018</x:v>
      </x:c>
      <x:c r="C6" s="35" t="str">
        <x:v>MEDP-005</x:v>
      </x:c>
      <x:c r="D6" s="43" t="n">
        <x:v>46248</x:v>
      </x:c>
      <x:c r="E6" s="43"/>
      <x:c r="F6" s="35"/>
      <x:c r="G6" s="54"/>
      <x:c r="H6" s="43" t="n">
        <x:v>46248</x:v>
      </x:c>
      <x:c r="I6" s="35" t="str">
        <x:v>SCHEDULED</x:v>
      </x:c>
      <x:c r="J6" s="35" t="str">
        <x:v>CLINICIAN-01</x:v>
      </x:c>
      <x:c r="K6" s="35" t="str">
        <x:v>RESTRICTED</x:v>
      </x:c>
      <x:c r="L6" s="35" t="n">
        <x:f>IF(I6="OVERDUE",MAX(0,'Summary'!$B$3-D6),0)</x:f>
        <x:v>0</x:v>
      </x:c>
    </x:row>
    <x:row r="7" ht="24" customHeight="1">
      <x:c r="A7" s="35" t="str">
        <x:v>HEX-003</x:v>
      </x:c>
      <x:c r="B7" s="35" t="str">
        <x:v>EMP-021</x:v>
      </x:c>
      <x:c r="C7" s="35" t="str">
        <x:v>MEDP-007</x:v>
      </x:c>
      <x:c r="D7" s="43" t="n">
        <x:v>46235</x:v>
      </x:c>
      <x:c r="E7" s="43" t="n">
        <x:v>46235</x:v>
      </x:c>
      <x:c r="F7" s="35" t="str">
        <x:v>FIT</x:v>
      </x:c>
      <x:c r="G7" s="54"/>
      <x:c r="H7" s="43" t="n">
        <x:v>46600</x:v>
      </x:c>
      <x:c r="I7" s="35" t="str">
        <x:v>COMPLETED</x:v>
      </x:c>
      <x:c r="J7" s="35" t="str">
        <x:v>CLINICIAN-01</x:v>
      </x:c>
      <x:c r="K7" s="35" t="str">
        <x:v>RESTRICTED</x:v>
      </x:c>
      <x:c r="L7" s="35" t="n">
        <x:f>IF(I7="OVERDUE",MAX(0,'Summary'!$B$3-D7),0)</x:f>
        <x:v>0</x:v>
      </x:c>
    </x:row>
    <x:row r="8" ht="24" customHeight="1">
      <x:c r="A8" s="35" t="str">
        <x:v>HEX-004</x:v>
      </x:c>
      <x:c r="B8" s="35" t="str">
        <x:v>EMP-022</x:v>
      </x:c>
      <x:c r="C8" s="35" t="str">
        <x:v>MEDP-006</x:v>
      </x:c>
      <x:c r="D8" s="43" t="n">
        <x:v>46223</x:v>
      </x:c>
      <x:c r="E8" s="43" t="n">
        <x:v>46223</x:v>
      </x:c>
      <x:c r="F8" s="35" t="str">
        <x:v>FIT_WITH_RESTRICTIONS</x:v>
      </x:c>
      <x:c r="G8" s="54" t="str">
        <x:v>No lifting above 15 kg for 14 days</x:v>
      </x:c>
      <x:c r="H8" s="43" t="n">
        <x:v>46588</x:v>
      </x:c>
      <x:c r="I8" s="35" t="str">
        <x:v>COMPLETED</x:v>
      </x:c>
      <x:c r="J8" s="35" t="str">
        <x:v>CLINICIAN-01</x:v>
      </x:c>
      <x:c r="K8" s="35" t="str">
        <x:v>CONFIDENTIAL</x:v>
      </x:c>
      <x:c r="L8" s="35" t="n">
        <x:f>IF(I8="OVERDUE",MAX(0,'Summary'!$B$3-D8),0)</x:f>
        <x:v>0</x:v>
      </x:c>
    </x:row>
    <x:row r="9" ht="24" customHeight="1">
      <x:c r="A9" s="35" t="str">
        <x:v>HEX-005</x:v>
      </x:c>
      <x:c r="B9" s="35" t="str">
        <x:v>EMP-023</x:v>
      </x:c>
      <x:c r="C9" s="35" t="str">
        <x:v>MEDP-003</x:v>
      </x:c>
      <x:c r="D9" s="43" t="n">
        <x:v>46246</x:v>
      </x:c>
      <x:c r="E9" s="43"/>
      <x:c r="F9" s="35"/>
      <x:c r="G9" s="54"/>
      <x:c r="H9" s="43" t="n">
        <x:v>46246</x:v>
      </x:c>
      <x:c r="I9" s="35" t="str">
        <x:v>OVERDUE</x:v>
      </x:c>
      <x:c r="J9" s="35" t="str">
        <x:v>CLINICIAN-01</x:v>
      </x:c>
      <x:c r="K9" s="35" t="str">
        <x:v>RESTRICTED</x:v>
      </x:c>
      <x:c r="L9" s="35" t="n">
        <x:f>IF(I9="OVERDUE",MAX(0,'Summary'!$B$3-D9),0)</x:f>
        <x:v>1</x:v>
      </x:c>
    </x:row>
    <x:row r="10" ht="24" customHeight="1">
      <x:c r="A10" s="35" t="str">
        <x:v>HEX-006</x:v>
      </x:c>
      <x:c r="B10" s="35" t="str">
        <x:v>EMP-024</x:v>
      </x:c>
      <x:c r="C10" s="35" t="str">
        <x:v>MEDP-002</x:v>
      </x:c>
      <x:c r="D10" s="43" t="n">
        <x:v>46254</x:v>
      </x:c>
      <x:c r="E10" s="43"/>
      <x:c r="F10" s="35"/>
      <x:c r="G10" s="54"/>
      <x:c r="H10" s="43" t="n">
        <x:v>46254</x:v>
      </x:c>
      <x:c r="I10" s="35" t="str">
        <x:v>SCHEDULED</x:v>
      </x:c>
      <x:c r="J10" s="35" t="str">
        <x:v>CLINICIAN-01</x:v>
      </x:c>
      <x:c r="K10" s="35" t="str">
        <x:v>CONFIDENTIAL</x:v>
      </x:c>
      <x:c r="L10" s="35" t="n">
        <x:f>IF(I10="OVERDUE",MAX(0,'Summary'!$B$3-D10),0)</x:f>
        <x:v>0</x:v>
      </x:c>
    </x:row>
    <x:row r="11" ht="24" customHeight="1">
      <x:c r="A11" s="35" t="str">
        <x:v>HEX-007</x:v>
      </x:c>
      <x:c r="B11" s="35" t="str">
        <x:v>EMP-025</x:v>
      </x:c>
      <x:c r="C11" s="35" t="str">
        <x:v>MEDP-002</x:v>
      </x:c>
      <x:c r="D11" s="43" t="n">
        <x:v>46218</x:v>
      </x:c>
      <x:c r="E11" s="43" t="n">
        <x:v>46218</x:v>
      </x:c>
      <x:c r="F11" s="35" t="str">
        <x:v>FIT</x:v>
      </x:c>
      <x:c r="G11" s="54"/>
      <x:c r="H11" s="43" t="n">
        <x:v>46583</x:v>
      </x:c>
      <x:c r="I11" s="35" t="str">
        <x:v>COMPLETED</x:v>
      </x:c>
      <x:c r="J11" s="35" t="str">
        <x:v>CLINICIAN-01</x:v>
      </x:c>
      <x:c r="K11" s="35" t="str">
        <x:v>CONFIDENTIAL</x:v>
      </x:c>
      <x:c r="L11" s="35" t="n">
        <x:f>IF(I11="OVERDUE",MAX(0,'Summary'!$B$3-D11),0)</x:f>
        <x:v>0</x:v>
      </x:c>
    </x:row>
    <x:row r="12" ht="24" customHeight="1">
      <x:c r="A12" s="35" t="str">
        <x:v>HEX-008</x:v>
      </x:c>
      <x:c r="B12" s="35" t="str">
        <x:v>EMP-026</x:v>
      </x:c>
      <x:c r="C12" s="35" t="str">
        <x:v>MEDP-006</x:v>
      </x:c>
      <x:c r="D12" s="43" t="n">
        <x:v>46252</x:v>
      </x:c>
      <x:c r="E12" s="43"/>
      <x:c r="F12" s="35"/>
      <x:c r="G12" s="54"/>
      <x:c r="H12" s="43" t="n">
        <x:v>46252</x:v>
      </x:c>
      <x:c r="I12" s="35" t="str">
        <x:v>SCHEDULED</x:v>
      </x:c>
      <x:c r="J12" s="35" t="str">
        <x:v>CLINICIAN-01</x:v>
      </x:c>
      <x:c r="K12" s="35" t="str">
        <x:v>CONFIDENTIAL</x:v>
      </x:c>
      <x:c r="L12" s="35" t="n">
        <x:f>IF(I12="OVERDUE",MAX(0,'Summary'!$B$3-D12),0)</x:f>
        <x:v>0</x:v>
      </x:c>
    </x:row>
    <x:row r="13" ht="24" customHeight="1">
      <x:c r="A13" s="35" t="str">
        <x:v>HEX-009</x:v>
      </x:c>
      <x:c r="B13" s="35" t="str">
        <x:v>EMP-027</x:v>
      </x:c>
      <x:c r="C13" s="35" t="str">
        <x:v>MEDP-008</x:v>
      </x:c>
      <x:c r="D13" s="43" t="n">
        <x:v>46239</x:v>
      </x:c>
      <x:c r="E13" s="43" t="n">
        <x:v>46239</x:v>
      </x:c>
      <x:c r="F13" s="35" t="str">
        <x:v>FIT</x:v>
      </x:c>
      <x:c r="G13" s="54"/>
      <x:c r="H13" s="43" t="n">
        <x:v>46604</x:v>
      </x:c>
      <x:c r="I13" s="35" t="str">
        <x:v>COMPLETED</x:v>
      </x:c>
      <x:c r="J13" s="35" t="str">
        <x:v>CLINICIAN-01</x:v>
      </x:c>
      <x:c r="K13" s="35" t="str">
        <x:v>CONFIDENTIAL</x:v>
      </x:c>
      <x:c r="L13" s="35" t="n">
        <x:f>IF(I13="OVERDUE",MAX(0,'Summary'!$B$3-D13),0)</x:f>
        <x:v>0</x:v>
      </x:c>
    </x:row>
    <x:row r="14" ht="24" customHeight="1">
      <x:c r="A14" s="35" t="str">
        <x:v>HEX-010</x:v>
      </x:c>
      <x:c r="B14" s="35" t="str">
        <x:v>EMP-029</x:v>
      </x:c>
      <x:c r="C14" s="35" t="str">
        <x:v>MEDP-007</x:v>
      </x:c>
      <x:c r="D14" s="43" t="n">
        <x:v>46243</x:v>
      </x:c>
      <x:c r="E14" s="43"/>
      <x:c r="F14" s="35"/>
      <x:c r="G14" s="54"/>
      <x:c r="H14" s="43" t="n">
        <x:v>46243</x:v>
      </x:c>
      <x:c r="I14" s="35" t="str">
        <x:v>OVERDUE</x:v>
      </x:c>
      <x:c r="J14" s="35" t="str">
        <x:v>CLINICIAN-01</x:v>
      </x:c>
      <x:c r="K14" s="35" t="str">
        <x:v>RESTRICTED</x:v>
      </x:c>
      <x:c r="L14" s="35" t="n">
        <x:f>IF(I14="OVERDUE",MAX(0,'Summary'!$B$3-D14),0)</x:f>
        <x:v>4</x:v>
      </x:c>
    </x:row>
    <x:row r="15" ht="24" customHeight="1">
      <x:c r="A15" s="35" t="str">
        <x:v>HEX-011</x:v>
      </x:c>
      <x:c r="B15" s="35" t="str">
        <x:v>EMP-031</x:v>
      </x:c>
      <x:c r="C15" s="35" t="str">
        <x:v>MEDP-001</x:v>
      </x:c>
      <x:c r="D15" s="43" t="n">
        <x:v>46259</x:v>
      </x:c>
      <x:c r="E15" s="43"/>
      <x:c r="F15" s="35"/>
      <x:c r="G15" s="54"/>
      <x:c r="H15" s="43" t="n">
        <x:v>46259</x:v>
      </x:c>
      <x:c r="I15" s="35" t="str">
        <x:v>SCHEDULED</x:v>
      </x:c>
      <x:c r="J15" s="35" t="str">
        <x:v>CLINICIAN-01</x:v>
      </x:c>
      <x:c r="K15" s="35" t="str">
        <x:v>RESTRICTED</x:v>
      </x:c>
      <x:c r="L15" s="35" t="n">
        <x:f>IF(I15="OVERDUE",MAX(0,'Summary'!$B$3-D15),0)</x:f>
        <x:v>0</x:v>
      </x:c>
    </x:row>
    <x:row r="16" ht="24" customHeight="1">
      <x:c r="A16" s="35" t="str">
        <x:v>HEX-012</x:v>
      </x:c>
      <x:c r="B16" s="35" t="str">
        <x:v>EMP-032</x:v>
      </x:c>
      <x:c r="C16" s="35" t="str">
        <x:v>MEDP-004</x:v>
      </x:c>
      <x:c r="D16" s="43" t="n">
        <x:v>46236</x:v>
      </x:c>
      <x:c r="E16" s="43" t="n">
        <x:v>46236</x:v>
      </x:c>
      <x:c r="F16" s="35" t="str">
        <x:v>FIT</x:v>
      </x:c>
      <x:c r="G16" s="54"/>
      <x:c r="H16" s="43" t="n">
        <x:v>46601</x:v>
      </x:c>
      <x:c r="I16" s="35" t="str">
        <x:v>COMPLETED</x:v>
      </x:c>
      <x:c r="J16" s="35" t="str">
        <x:v>CLINICIAN-01</x:v>
      </x:c>
      <x:c r="K16" s="35" t="str">
        <x:v>CONFIDENTIAL</x:v>
      </x:c>
      <x:c r="L16" s="35" t="n">
        <x:f>IF(I16="OVERDUE",MAX(0,'Summary'!$B$3-D16),0)</x:f>
        <x:v>0</x:v>
      </x:c>
    </x:row>
    <x:row r="17" ht="24" customHeight="1">
      <x:c r="A17" s="35" t="str">
        <x:v>HEX-013</x:v>
      </x:c>
      <x:c r="B17" s="35" t="str">
        <x:v>EMP-033</x:v>
      </x:c>
      <x:c r="C17" s="35" t="str">
        <x:v>MEDP-003</x:v>
      </x:c>
      <x:c r="D17" s="43" t="n">
        <x:v>46264</x:v>
      </x:c>
      <x:c r="E17" s="43"/>
      <x:c r="F17" s="35"/>
      <x:c r="G17" s="54"/>
      <x:c r="H17" s="43" t="n">
        <x:v>46264</x:v>
      </x:c>
      <x:c r="I17" s="35" t="str">
        <x:v>SCHEDULED</x:v>
      </x:c>
      <x:c r="J17" s="35" t="str">
        <x:v>CLINICIAN-01</x:v>
      </x:c>
      <x:c r="K17" s="35" t="str">
        <x:v>RESTRICTED</x:v>
      </x:c>
      <x:c r="L17" s="35" t="n">
        <x:f>IF(I17="OVERDUE",MAX(0,'Summary'!$B$3-D17),0)</x:f>
        <x:v>0</x:v>
      </x:c>
    </x:row>
    <x:row r="18" ht="24" customHeight="1">
      <x:c r="A18" s="38" t="str">
        <x:v>HEX-014</x:v>
      </x:c>
      <x:c r="B18" s="38" t="str">
        <x:v>EMP-034</x:v>
      </x:c>
      <x:c r="C18" s="38" t="str">
        <x:v>MEDP-002</x:v>
      </x:c>
      <x:c r="D18" s="44" t="n">
        <x:v>46245</x:v>
      </x:c>
      <x:c r="E18" s="44"/>
      <x:c r="F18" s="38"/>
      <x:c r="G18" s="55"/>
      <x:c r="H18" s="44" t="n">
        <x:v>46245</x:v>
      </x:c>
      <x:c r="I18" s="38" t="str">
        <x:v>CANCELLED</x:v>
      </x:c>
      <x:c r="J18" s="38" t="str">
        <x:v>CLINICIAN-01</x:v>
      </x:c>
      <x:c r="K18" s="38" t="str">
        <x:v>CONFIDENTIAL</x:v>
      </x:c>
      <x:c r="L18" s="38" t="n">
        <x:f>IF(I18="OVERDUE",MAX(0,'Summary'!$B$3-D18),0)</x:f>
        <x:v>0</x:v>
      </x:c>
    </x:row>
  </x:sheetData>
  <x:mergeCells>
    <x:mergeCell ref="A1:L1"/>
    <x:mergeCell ref="A2:L2"/>
  </x:mergeCells>
  <x:conditionalFormatting sqref="F5:F18">
    <x:cfRule type="containsText" dxfId="462" priority="1" operator="containsText" text="CRITICAL"/>
    <x:cfRule type="containsText" dxfId="463" priority="2" operator="containsText" text="EXPIRED"/>
    <x:cfRule type="containsText" dxfId="464" priority="3" operator="containsText" text="FAILED"/>
    <x:cfRule type="containsText" dxfId="465" priority="4" operator="containsText" text="OVERDUE"/>
    <x:cfRule type="containsText" dxfId="466" priority="5" operator="containsText" text="REJECTED"/>
    <x:cfRule type="containsText" dxfId="467" priority="6" operator="containsText" text="OUT_OF_SERVICE"/>
    <x:cfRule type="containsText" dxfId="468" priority="7" operator="containsText" text="BELOW_THRESHOLD"/>
    <x:cfRule type="containsText" dxfId="469" priority="8" operator="containsText" text="HIGH"/>
    <x:cfRule type="containsText" dxfId="470" priority="9" operator="containsText" text="WARNING"/>
    <x:cfRule type="containsText" dxfId="471" priority="10" operator="containsText" text="DUE_SOON"/>
    <x:cfRule type="containsText" dxfId="472" priority="11" operator="containsText" text="OPEN"/>
    <x:cfRule type="containsText" dxfId="473" priority="12" operator="containsText" text="PENDING"/>
    <x:cfRule type="containsText" dxfId="474" priority="13" operator="containsText" text="SUSPENDED"/>
    <x:cfRule type="containsText" dxfId="475" priority="14" operator="containsText" text="TESTING"/>
    <x:cfRule type="containsText" dxfId="476" priority="15" operator="containsText" text="PARTIAL_FAILURE"/>
    <x:cfRule type="containsText" dxfId="477" priority="16" operator="containsText" text="LOW_STOCK"/>
    <x:cfRule type="containsText" dxfId="478" priority="17" operator="containsText" text="ACTIVE"/>
    <x:cfRule type="containsText" dxfId="479" priority="18" operator="containsText" text="VALID"/>
    <x:cfRule type="containsText" dxfId="480" priority="19" operator="containsText" text="SUCCESS"/>
    <x:cfRule type="containsText" dxfId="481" priority="20" operator="containsText" text="COMPLETED"/>
    <x:cfRule type="containsText" dxfId="482" priority="21" operator="containsText" text="CLOSED"/>
    <x:cfRule type="containsText" dxfId="483" priority="22" operator="containsText" text="CONNECTED"/>
    <x:cfRule type="containsText" dxfId="484" priority="23" operator="containsText" text="NORMAL"/>
    <x:cfRule type="containsText" dxfId="485" priority="24" operator="containsText" text="VERIFIED"/>
    <x:cfRule type="containsText" dxfId="486" priority="25" operator="containsText" text="RESOLVED"/>
    <x:cfRule type="containsText" dxfId="487" priority="26" operator="containsText" text="PASS"/>
    <x:cfRule type="containsText" dxfId="488" priority="27" operator="containsText" text="OK"/>
    <x:cfRule type="containsText" dxfId="489" priority="28" operator="containsText" text="INFO"/>
    <x:cfRule type="containsText" dxfId="490" priority="29" operator="containsText" text="DRAFT"/>
    <x:cfRule type="containsText" dxfId="491" priority="30" operator="containsText" text="SCHEDULED"/>
    <x:cfRule type="containsText" dxfId="492" priority="31" operator="containsText" text="IN_PROGRESS"/>
    <x:cfRule type="containsText" dxfId="493" priority="32" operator="containsText" text="MODEL_REVIEW"/>
    <x:cfRule type="containsText" dxfId="494" priority="33" operator="containsText" text="READ"/>
  </x:conditionalFormatting>
  <x:conditionalFormatting sqref="I5:I18">
    <x:cfRule type="containsText" dxfId="495" priority="34" operator="containsText" text="CRITICAL"/>
    <x:cfRule type="containsText" dxfId="496" priority="35" operator="containsText" text="EXPIRED"/>
    <x:cfRule type="containsText" dxfId="497" priority="36" operator="containsText" text="FAILED"/>
    <x:cfRule type="containsText" dxfId="498" priority="37" operator="containsText" text="OVERDUE"/>
    <x:cfRule type="containsText" dxfId="499" priority="38" operator="containsText" text="REJECTED"/>
    <x:cfRule type="containsText" dxfId="500" priority="39" operator="containsText" text="OUT_OF_SERVICE"/>
    <x:cfRule type="containsText" dxfId="501" priority="40" operator="containsText" text="BELOW_THRESHOLD"/>
    <x:cfRule type="containsText" dxfId="502" priority="41" operator="containsText" text="HIGH"/>
    <x:cfRule type="containsText" dxfId="503" priority="42" operator="containsText" text="WARNING"/>
    <x:cfRule type="containsText" dxfId="504" priority="43" operator="containsText" text="DUE_SOON"/>
    <x:cfRule type="containsText" dxfId="505" priority="44" operator="containsText" text="OPEN"/>
    <x:cfRule type="containsText" dxfId="506" priority="45" operator="containsText" text="PENDING"/>
    <x:cfRule type="containsText" dxfId="507" priority="46" operator="containsText" text="SUSPENDED"/>
    <x:cfRule type="containsText" dxfId="508" priority="47" operator="containsText" text="TESTING"/>
    <x:cfRule type="containsText" dxfId="509" priority="48" operator="containsText" text="PARTIAL_FAILURE"/>
    <x:cfRule type="containsText" dxfId="510" priority="49" operator="containsText" text="LOW_STOCK"/>
    <x:cfRule type="containsText" dxfId="511" priority="50" operator="containsText" text="ACTIVE"/>
    <x:cfRule type="containsText" dxfId="512" priority="51" operator="containsText" text="VALID"/>
    <x:cfRule type="containsText" dxfId="513" priority="52" operator="containsText" text="SUCCESS"/>
    <x:cfRule type="containsText" dxfId="514" priority="53" operator="containsText" text="COMPLETED"/>
    <x:cfRule type="containsText" dxfId="515" priority="54" operator="containsText" text="CLOSED"/>
    <x:cfRule type="containsText" dxfId="516" priority="55" operator="containsText" text="CONNECTED"/>
    <x:cfRule type="containsText" dxfId="517" priority="56" operator="containsText" text="NORMAL"/>
    <x:cfRule type="containsText" dxfId="518" priority="57" operator="containsText" text="VERIFIED"/>
    <x:cfRule type="containsText" dxfId="519" priority="58" operator="containsText" text="RESOLVED"/>
    <x:cfRule type="containsText" dxfId="520" priority="59" operator="containsText" text="PASS"/>
    <x:cfRule type="containsText" dxfId="521" priority="60" operator="containsText" text="OK"/>
    <x:cfRule type="containsText" dxfId="522" priority="61" operator="containsText" text="INFO"/>
    <x:cfRule type="containsText" dxfId="523" priority="62" operator="containsText" text="DRAFT"/>
    <x:cfRule type="containsText" dxfId="524" priority="63" operator="containsText" text="SCHEDULED"/>
    <x:cfRule type="containsText" dxfId="525" priority="64" operator="containsText" text="IN_PROGRESS"/>
    <x:cfRule type="containsText" dxfId="526" priority="65" operator="containsText" text="MODEL_REVIEW"/>
    <x:cfRule type="containsText" dxfId="527" priority="66" operator="containsText" text="READ"/>
  </x:conditionalFormatting>
  <x:conditionalFormatting sqref="K5:K18">
    <x:cfRule type="containsText" dxfId="528" priority="67" operator="containsText" text="CRITICAL"/>
    <x:cfRule type="containsText" dxfId="529" priority="68" operator="containsText" text="EXPIRED"/>
    <x:cfRule type="containsText" dxfId="530" priority="69" operator="containsText" text="FAILED"/>
    <x:cfRule type="containsText" dxfId="531" priority="70" operator="containsText" text="OVERDUE"/>
    <x:cfRule type="containsText" dxfId="532" priority="71" operator="containsText" text="REJECTED"/>
    <x:cfRule type="containsText" dxfId="533" priority="72" operator="containsText" text="OUT_OF_SERVICE"/>
    <x:cfRule type="containsText" dxfId="534" priority="73" operator="containsText" text="BELOW_THRESHOLD"/>
    <x:cfRule type="containsText" dxfId="535" priority="74" operator="containsText" text="HIGH"/>
    <x:cfRule type="containsText" dxfId="536" priority="75" operator="containsText" text="WARNING"/>
    <x:cfRule type="containsText" dxfId="537" priority="76" operator="containsText" text="DUE_SOON"/>
    <x:cfRule type="containsText" dxfId="538" priority="77" operator="containsText" text="OPEN"/>
    <x:cfRule type="containsText" dxfId="539" priority="78" operator="containsText" text="PENDING"/>
    <x:cfRule type="containsText" dxfId="540" priority="79" operator="containsText" text="SUSPENDED"/>
    <x:cfRule type="containsText" dxfId="541" priority="80" operator="containsText" text="TESTING"/>
    <x:cfRule type="containsText" dxfId="542" priority="81" operator="containsText" text="PARTIAL_FAILURE"/>
    <x:cfRule type="containsText" dxfId="543" priority="82" operator="containsText" text="LOW_STOCK"/>
    <x:cfRule type="containsText" dxfId="544" priority="83" operator="containsText" text="ACTIVE"/>
    <x:cfRule type="containsText" dxfId="545" priority="84" operator="containsText" text="VALID"/>
    <x:cfRule type="containsText" dxfId="546" priority="85" operator="containsText" text="SUCCESS"/>
    <x:cfRule type="containsText" dxfId="547" priority="86" operator="containsText" text="COMPLETED"/>
    <x:cfRule type="containsText" dxfId="548" priority="87" operator="containsText" text="CLOSED"/>
    <x:cfRule type="containsText" dxfId="549" priority="88" operator="containsText" text="CONNECTED"/>
    <x:cfRule type="containsText" dxfId="550" priority="89" operator="containsText" text="NORMAL"/>
    <x:cfRule type="containsText" dxfId="551" priority="90" operator="containsText" text="VERIFIED"/>
    <x:cfRule type="containsText" dxfId="552" priority="91" operator="containsText" text="RESOLVED"/>
    <x:cfRule type="containsText" dxfId="553" priority="92" operator="containsText" text="PASS"/>
    <x:cfRule type="containsText" dxfId="554" priority="93" operator="containsText" text="OK"/>
    <x:cfRule type="containsText" dxfId="555" priority="94" operator="containsText" text="INFO"/>
    <x:cfRule type="containsText" dxfId="556" priority="95" operator="containsText" text="DRAFT"/>
    <x:cfRule type="containsText" dxfId="557" priority="96" operator="containsText" text="SCHEDULED"/>
    <x:cfRule type="containsText" dxfId="558" priority="97" operator="containsText" text="IN_PROGRESS"/>
    <x:cfRule type="containsText" dxfId="559" priority="98" operator="containsText" text="MODEL_REVIEW"/>
    <x:cfRule type="containsText" dxfId="560" priority="99" operator="containsText" text="READ"/>
  </x:conditionalFormatting>
  <x:dataValidations count="3">
    <x:dataValidation type="list" sqref="F5:F18">
      <x:formula1>"FIT,FIT_WITH_RESTRICTIONS,UNFIT"</x:formula1>
    </x:dataValidation>
    <x:dataValidation type="list" sqref="I5:I18">
      <x:formula1>"SCHEDULED,OVERDUE,COMPLETED,CANCELLED"</x:formula1>
    </x:dataValidation>
    <x:dataValidation type="list" sqref="K5:K18">
      <x:formula1>"RESTRICTED,CONFIDENTIAL"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2a0b7996d0403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3" hidden="0" customWidth="1"/>
    <x:col min="6" max="6" width="18" hidden="0" customWidth="1"/>
    <x:col min="7" max="7" width="18" hidden="0" customWidth="1"/>
    <x:col min="8" max="8" width="13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17" t="str">
        <x:v>ESCA HSE | Clinic_Visits</x:v>
      </x:c>
      <x:c r="B1" s="17" t="str">
        <x:v>ESCA HSE | Clinic_Visits</x:v>
      </x:c>
      <x:c r="C1" s="17" t="str">
        <x:v>ESCA HSE | Clinic_Visits</x:v>
      </x:c>
      <x:c r="D1" s="17" t="str">
        <x:v>ESCA HSE | Clinic_Visits</x:v>
      </x:c>
      <x:c r="E1" s="17" t="str">
        <x:v>ESCA HSE | Clinic_Visits</x:v>
      </x:c>
      <x:c r="F1" s="17" t="str">
        <x:v>ESCA HSE | Clinic_Visits</x:v>
      </x:c>
      <x:c r="G1" s="17" t="str">
        <x:v>ESCA HSE | Clinic_Visits</x:v>
      </x:c>
      <x:c r="H1" s="17" t="str">
        <x:v>ESCA HSE | Clinic_Visits</x:v>
      </x:c>
      <x:c r="I1" s="17" t="str">
        <x:v>ESCA HSE | Clinic_Visits</x:v>
      </x:c>
      <x:c r="J1" s="17" t="str">
        <x:v>ESCA HSE | Clinic_Visits</x:v>
      </x:c>
      <x:c r="K1" s="17" t="str">
        <x:v>ESCA HSE | Clinic_Visits</x:v>
      </x:c>
      <x:c r="L1" s="17" t="str">
        <x:v>ESCA HSE | Clinic_Visits</x:v>
      </x:c>
    </x:row>
    <x:row r="2" ht="28" customHeight="1">
      <x:c r="A2" s="21" t="str">
        <x:v>Synthetic restricted clinic visits | Owner: Member 2 | Synthetic sample data | Snapshot: 2026-08-13</x:v>
      </x:c>
      <x:c r="B2" s="21" t="str">
        <x:v>Synthetic restricted clinic visits | Owner: Member 2 | Synthetic sample data | Snapshot: 2026-08-13</x:v>
      </x:c>
      <x:c r="C2" s="21" t="str">
        <x:v>Synthetic restricted clinic visits | Owner: Member 2 | Synthetic sample data | Snapshot: 2026-08-13</x:v>
      </x:c>
      <x:c r="D2" s="21" t="str">
        <x:v>Synthetic restricted clinic visits | Owner: Member 2 | Synthetic sample data | Snapshot: 2026-08-13</x:v>
      </x:c>
      <x:c r="E2" s="21" t="str">
        <x:v>Synthetic restricted clinic visits | Owner: Member 2 | Synthetic sample data | Snapshot: 2026-08-13</x:v>
      </x:c>
      <x:c r="F2" s="21" t="str">
        <x:v>Synthetic restricted clinic visits | Owner: Member 2 | Synthetic sample data | Snapshot: 2026-08-13</x:v>
      </x:c>
      <x:c r="G2" s="21" t="str">
        <x:v>Synthetic restricted clinic visits | Owner: Member 2 | Synthetic sample data | Snapshot: 2026-08-13</x:v>
      </x:c>
      <x:c r="H2" s="21" t="str">
        <x:v>Synthetic restricted clinic visits | Owner: Member 2 | Synthetic sample data | Snapshot: 2026-08-13</x:v>
      </x:c>
      <x:c r="I2" s="21" t="str">
        <x:v>Synthetic restricted clinic visits | Owner: Member 2 | Synthetic sample data | Snapshot: 2026-08-13</x:v>
      </x:c>
      <x:c r="J2" s="21" t="str">
        <x:v>Synthetic restricted clinic visits | Owner: Member 2 | Synthetic sample data | Snapshot: 2026-08-13</x:v>
      </x:c>
      <x:c r="K2" s="21" t="str">
        <x:v>Synthetic restricted clinic visits | Owner: Member 2 | Synthetic sample data | Snapshot: 2026-08-13</x:v>
      </x:c>
      <x:c r="L2" s="21" t="str">
        <x:v>Synthetic restricted clinic visits | Owner: Member 2 | Synthetic sample data | Snapshot: 2026-08-13</x:v>
      </x:c>
    </x:row>
    <x:row r="4" ht="30" customHeight="1">
      <x:c r="A4" s="26" t="str">
        <x:v>visit_id</x:v>
      </x:c>
      <x:c r="B4" s="26" t="str">
        <x:v>employee_id</x:v>
      </x:c>
      <x:c r="C4" s="26" t="str">
        <x:v>visit_at</x:v>
      </x:c>
      <x:c r="D4" s="26" t="str">
        <x:v>visit_type</x:v>
      </x:c>
      <x:c r="E4" s="26" t="str">
        <x:v>work_related_flag</x:v>
      </x:c>
      <x:c r="F4" s="26" t="str">
        <x:v>incident_id</x:v>
      </x:c>
      <x:c r="G4" s="26" t="str">
        <x:v>decision</x:v>
      </x:c>
      <x:c r="H4" s="26" t="str">
        <x:v>rest_days</x:v>
      </x:c>
      <x:c r="I4" s="26" t="str">
        <x:v>restriction_summary</x:v>
      </x:c>
      <x:c r="J4" s="26" t="str">
        <x:v>status</x:v>
      </x:c>
      <x:c r="K4" s="26" t="str">
        <x:v>clinician_alias</x:v>
      </x:c>
      <x:c r="L4" s="26" t="str">
        <x:v>confidentiality_level</x:v>
      </x:c>
    </x:row>
    <x:row r="5" ht="24" customHeight="1">
      <x:c r="A5" s="32" t="str">
        <x:v>MED-0244</x:v>
      </x:c>
      <x:c r="B5" s="32" t="str">
        <x:v>EMP-021</x:v>
      </x:c>
      <x:c r="C5" s="46" t="n">
        <x:v>46240.270833333336</x:v>
      </x:c>
      <x:c r="D5" s="32" t="str">
        <x:v>WORK_INJURY</x:v>
      </x:c>
      <x:c r="E5" s="34" t="b">
        <x:v>1</x:v>
      </x:c>
      <x:c r="F5" s="32" t="str">
        <x:v>INC-2026-0089</x:v>
      </x:c>
      <x:c r="G5" s="32" t="str">
        <x:v>RETURN_WITH_RESTRICTIONS</x:v>
      </x:c>
      <x:c r="H5" s="33" t="n">
        <x:v>0</x:v>
      </x:c>
      <x:c r="I5" s="53" t="str">
        <x:v>Avoid handling sharp parts for 3 days</x:v>
      </x:c>
      <x:c r="J5" s="32" t="str">
        <x:v>CLOSED</x:v>
      </x:c>
      <x:c r="K5" s="32" t="str">
        <x:v>CLINICIAN-01</x:v>
      </x:c>
      <x:c r="L5" s="32" t="str">
        <x:v>CONFIDENTIAL</x:v>
      </x:c>
    </x:row>
    <x:row r="6" ht="24" customHeight="1">
      <x:c r="A6" s="35" t="str">
        <x:v>MED-0243</x:v>
      </x:c>
      <x:c r="B6" s="35" t="str">
        <x:v>EMP-017</x:v>
      </x:c>
      <x:c r="C6" s="47" t="n">
        <x:v>46239.333333333336</x:v>
      </x:c>
      <x:c r="D6" s="35" t="str">
        <x:v>GENERAL_COMPLAINT</x:v>
      </x:c>
      <x:c r="E6" s="37" t="b">
        <x:v>0</x:v>
      </x:c>
      <x:c r="F6" s="35"/>
      <x:c r="G6" s="35" t="str">
        <x:v>RETURN_TO_WORK</x:v>
      </x:c>
      <x:c r="H6" s="36" t="n">
        <x:v>0</x:v>
      </x:c>
      <x:c r="I6" s="54"/>
      <x:c r="J6" s="35" t="str">
        <x:v>CLOSED</x:v>
      </x:c>
      <x:c r="K6" s="35" t="str">
        <x:v>CLINICIAN-01</x:v>
      </x:c>
      <x:c r="L6" s="35" t="str">
        <x:v>CONFIDENTIAL</x:v>
      </x:c>
    </x:row>
    <x:row r="7" ht="24" customHeight="1">
      <x:c r="A7" s="35" t="str">
        <x:v>MED-0242</x:v>
      </x:c>
      <x:c r="B7" s="35" t="str">
        <x:v>EMP-023</x:v>
      </x:c>
      <x:c r="C7" s="47" t="n">
        <x:v>46238.42361111111</x:v>
      </x:c>
      <x:c r="D7" s="35" t="str">
        <x:v>PERIODIC_EXAM</x:v>
      </x:c>
      <x:c r="E7" s="37" t="b">
        <x:v>0</x:v>
      </x:c>
      <x:c r="F7" s="35"/>
      <x:c r="G7" s="35" t="str">
        <x:v>RETURN_TO_WORK</x:v>
      </x:c>
      <x:c r="H7" s="36" t="n">
        <x:v>0</x:v>
      </x:c>
      <x:c r="I7" s="54"/>
      <x:c r="J7" s="35" t="str">
        <x:v>CLOSED</x:v>
      </x:c>
      <x:c r="K7" s="35" t="str">
        <x:v>CLINICIAN-01</x:v>
      </x:c>
      <x:c r="L7" s="35" t="str">
        <x:v>CONFIDENTIAL</x:v>
      </x:c>
    </x:row>
    <x:row r="8" ht="24" customHeight="1">
      <x:c r="A8" s="35" t="str">
        <x:v>MED-0241</x:v>
      </x:c>
      <x:c r="B8" s="35" t="str">
        <x:v>EMP-025</x:v>
      </x:c>
      <x:c r="C8" s="47" t="n">
        <x:v>46237.291666666664</x:v>
      </x:c>
      <x:c r="D8" s="35" t="str">
        <x:v>FOLLOW_UP</x:v>
      </x:c>
      <x:c r="E8" s="37" t="b">
        <x:v>1</x:v>
      </x:c>
      <x:c r="F8" s="35" t="str">
        <x:v>INC-2026-0083</x:v>
      </x:c>
      <x:c r="G8" s="35" t="str">
        <x:v>RETURN_TO_WORK</x:v>
      </x:c>
      <x:c r="H8" s="36" t="n">
        <x:v>0</x:v>
      </x:c>
      <x:c r="I8" s="54"/>
      <x:c r="J8" s="35" t="str">
        <x:v>CLOSED</x:v>
      </x:c>
      <x:c r="K8" s="35" t="str">
        <x:v>CLINICIAN-01</x:v>
      </x:c>
      <x:c r="L8" s="35" t="str">
        <x:v>CONFIDENTIAL</x:v>
      </x:c>
    </x:row>
    <x:row r="9" ht="24" customHeight="1">
      <x:c r="A9" s="35" t="str">
        <x:v>MED-0240</x:v>
      </x:c>
      <x:c r="B9" s="35" t="str">
        <x:v>EMP-022</x:v>
      </x:c>
      <x:c r="C9" s="47" t="n">
        <x:v>46235.23611111111</x:v>
      </x:c>
      <x:c r="D9" s="35" t="str">
        <x:v>GENERAL_COMPLAINT</x:v>
      </x:c>
      <x:c r="E9" s="37" t="b">
        <x:v>0</x:v>
      </x:c>
      <x:c r="F9" s="35"/>
      <x:c r="G9" s="35" t="str">
        <x:v>SICK_LEAVE</x:v>
      </x:c>
      <x:c r="H9" s="36" t="n">
        <x:v>1</x:v>
      </x:c>
      <x:c r="I9" s="54" t="str">
        <x:v>Synthetic restriction summary only</x:v>
      </x:c>
      <x:c r="J9" s="35" t="str">
        <x:v>CLOSED</x:v>
      </x:c>
      <x:c r="K9" s="35" t="str">
        <x:v>CLINICIAN-01</x:v>
      </x:c>
      <x:c r="L9" s="35" t="str">
        <x:v>CONFIDENTIAL</x:v>
      </x:c>
    </x:row>
    <x:row r="10" ht="24" customHeight="1">
      <x:c r="A10" s="35" t="str">
        <x:v>MED-0239</x:v>
      </x:c>
      <x:c r="B10" s="35" t="str">
        <x:v>EMP-018</x:v>
      </x:c>
      <x:c r="C10" s="47" t="n">
        <x:v>46233.47222222222</x:v>
      </x:c>
      <x:c r="D10" s="35" t="str">
        <x:v>FOLLOW_UP</x:v>
      </x:c>
      <x:c r="E10" s="37" t="b">
        <x:v>1</x:v>
      </x:c>
      <x:c r="F10" s="35" t="str">
        <x:v>INC-2026-0084</x:v>
      </x:c>
      <x:c r="G10" s="35" t="str">
        <x:v>RETURN_WITH_RESTRICTIONS</x:v>
      </x:c>
      <x:c r="H10" s="36" t="n">
        <x:v>0</x:v>
      </x:c>
      <x:c r="I10" s="54" t="str">
        <x:v>No slippery-area assignment for 7 days</x:v>
      </x:c>
      <x:c r="J10" s="35" t="str">
        <x:v>CLOSED</x:v>
      </x:c>
      <x:c r="K10" s="35" t="str">
        <x:v>CLINICIAN-01</x:v>
      </x:c>
      <x:c r="L10" s="35" t="str">
        <x:v>CONFIDENTIAL</x:v>
      </x:c>
    </x:row>
    <x:row r="11" ht="24" customHeight="1">
      <x:c r="A11" s="35" t="str">
        <x:v>MED-0238</x:v>
      </x:c>
      <x:c r="B11" s="35" t="str">
        <x:v>EMP-027</x:v>
      </x:c>
      <x:c r="C11" s="47" t="n">
        <x:v>46232.260416666664</x:v>
      </x:c>
      <x:c r="D11" s="35" t="str">
        <x:v>PERIODIC_EXAM</x:v>
      </x:c>
      <x:c r="E11" s="37" t="b">
        <x:v>0</x:v>
      </x:c>
      <x:c r="F11" s="35"/>
      <x:c r="G11" s="35" t="str">
        <x:v>RETURN_TO_WORK</x:v>
      </x:c>
      <x:c r="H11" s="36" t="n">
        <x:v>0</x:v>
      </x:c>
      <x:c r="I11" s="54"/>
      <x:c r="J11" s="35" t="str">
        <x:v>CLOSED</x:v>
      </x:c>
      <x:c r="K11" s="35" t="str">
        <x:v>CLINICIAN-01</x:v>
      </x:c>
      <x:c r="L11" s="35" t="str">
        <x:v>CONFIDENTIAL</x:v>
      </x:c>
    </x:row>
    <x:row r="12" ht="24" customHeight="1">
      <x:c r="A12" s="35" t="str">
        <x:v>MED-0237</x:v>
      </x:c>
      <x:c r="B12" s="35" t="str">
        <x:v>EMP-029</x:v>
      </x:c>
      <x:c r="C12" s="47" t="n">
        <x:v>46231.375</x:v>
      </x:c>
      <x:c r="D12" s="35" t="str">
        <x:v>PRE_EMPLOYMENT</x:v>
      </x:c>
      <x:c r="E12" s="37" t="b">
        <x:v>0</x:v>
      </x:c>
      <x:c r="F12" s="35"/>
      <x:c r="G12" s="35" t="str">
        <x:v>RETURN_TO_WORK</x:v>
      </x:c>
      <x:c r="H12" s="36" t="n">
        <x:v>0</x:v>
      </x:c>
      <x:c r="I12" s="54"/>
      <x:c r="J12" s="35" t="str">
        <x:v>CLOSED</x:v>
      </x:c>
      <x:c r="K12" s="35" t="str">
        <x:v>CLINICIAN-01</x:v>
      </x:c>
      <x:c r="L12" s="35" t="str">
        <x:v>CONFIDENTIAL</x:v>
      </x:c>
    </x:row>
    <x:row r="13" ht="24" customHeight="1">
      <x:c r="A13" s="35" t="str">
        <x:v>MED-0236</x:v>
      </x:c>
      <x:c r="B13" s="35" t="str">
        <x:v>EMP-031</x:v>
      </x:c>
      <x:c r="C13" s="47" t="n">
        <x:v>46230.3125</x:v>
      </x:c>
      <x:c r="D13" s="35" t="str">
        <x:v>GENERAL_COMPLAINT</x:v>
      </x:c>
      <x:c r="E13" s="37" t="b">
        <x:v>0</x:v>
      </x:c>
      <x:c r="F13" s="35"/>
      <x:c r="G13" s="35" t="str">
        <x:v>EXTERNAL_REFERRAL</x:v>
      </x:c>
      <x:c r="H13" s="36" t="n">
        <x:v>0</x:v>
      </x:c>
      <x:c r="I13" s="54" t="str">
        <x:v>Referral only; no diagnosis stored</x:v>
      </x:c>
      <x:c r="J13" s="35" t="str">
        <x:v>REFERRED</x:v>
      </x:c>
      <x:c r="K13" s="35" t="str">
        <x:v>CLINICIAN-01</x:v>
      </x:c>
      <x:c r="L13" s="35" t="str">
        <x:v>CONFIDENTIAL</x:v>
      </x:c>
    </x:row>
    <x:row r="14" ht="24" customHeight="1">
      <x:c r="A14" s="38" t="str">
        <x:v>MED-0235</x:v>
      </x:c>
      <x:c r="B14" s="38" t="str">
        <x:v>EMP-034</x:v>
      </x:c>
      <x:c r="C14" s="48" t="n">
        <x:v>46229.5</x:v>
      </x:c>
      <x:c r="D14" s="38" t="str">
        <x:v>PERIODIC_EXAM</x:v>
      </x:c>
      <x:c r="E14" s="40" t="b">
        <x:v>0</x:v>
      </x:c>
      <x:c r="F14" s="38"/>
      <x:c r="G14" s="38" t="str">
        <x:v>RETURN_TO_WORK</x:v>
      </x:c>
      <x:c r="H14" s="39" t="n">
        <x:v>0</x:v>
      </x:c>
      <x:c r="I14" s="55"/>
      <x:c r="J14" s="38" t="str">
        <x:v>CLOSED</x:v>
      </x:c>
      <x:c r="K14" s="38" t="str">
        <x:v>CLINICIAN-01</x:v>
      </x:c>
      <x:c r="L14" s="38" t="str">
        <x:v>CONFIDENTIAL</x:v>
      </x:c>
    </x:row>
  </x:sheetData>
  <x:mergeCells>
    <x:mergeCell ref="A1:L1"/>
    <x:mergeCell ref="A2:L2"/>
  </x:mergeCells>
  <x:conditionalFormatting sqref="E5:E14">
    <x:cfRule type="containsText" dxfId="561" priority="1" operator="containsText" text="CRITICAL"/>
    <x:cfRule type="containsText" dxfId="562" priority="2" operator="containsText" text="EXPIRED"/>
    <x:cfRule type="containsText" dxfId="563" priority="3" operator="containsText" text="FAILED"/>
    <x:cfRule type="containsText" dxfId="564" priority="4" operator="containsText" text="OVERDUE"/>
    <x:cfRule type="containsText" dxfId="565" priority="5" operator="containsText" text="REJECTED"/>
    <x:cfRule type="containsText" dxfId="566" priority="6" operator="containsText" text="OUT_OF_SERVICE"/>
    <x:cfRule type="containsText" dxfId="567" priority="7" operator="containsText" text="BELOW_THRESHOLD"/>
    <x:cfRule type="containsText" dxfId="568" priority="8" operator="containsText" text="HIGH"/>
    <x:cfRule type="containsText" dxfId="569" priority="9" operator="containsText" text="WARNING"/>
    <x:cfRule type="containsText" dxfId="570" priority="10" operator="containsText" text="DUE_SOON"/>
    <x:cfRule type="containsText" dxfId="571" priority="11" operator="containsText" text="OPEN"/>
    <x:cfRule type="containsText" dxfId="572" priority="12" operator="containsText" text="PENDING"/>
    <x:cfRule type="containsText" dxfId="573" priority="13" operator="containsText" text="SUSPENDED"/>
    <x:cfRule type="containsText" dxfId="574" priority="14" operator="containsText" text="TESTING"/>
    <x:cfRule type="containsText" dxfId="575" priority="15" operator="containsText" text="PARTIAL_FAILURE"/>
    <x:cfRule type="containsText" dxfId="576" priority="16" operator="containsText" text="LOW_STOCK"/>
    <x:cfRule type="containsText" dxfId="577" priority="17" operator="containsText" text="ACTIVE"/>
    <x:cfRule type="containsText" dxfId="578" priority="18" operator="containsText" text="VALID"/>
    <x:cfRule type="containsText" dxfId="579" priority="19" operator="containsText" text="SUCCESS"/>
    <x:cfRule type="containsText" dxfId="580" priority="20" operator="containsText" text="COMPLETED"/>
    <x:cfRule type="containsText" dxfId="581" priority="21" operator="containsText" text="CLOSED"/>
    <x:cfRule type="containsText" dxfId="582" priority="22" operator="containsText" text="CONNECTED"/>
    <x:cfRule type="containsText" dxfId="583" priority="23" operator="containsText" text="NORMAL"/>
    <x:cfRule type="containsText" dxfId="584" priority="24" operator="containsText" text="VERIFIED"/>
    <x:cfRule type="containsText" dxfId="585" priority="25" operator="containsText" text="RESOLVED"/>
    <x:cfRule type="containsText" dxfId="586" priority="26" operator="containsText" text="PASS"/>
    <x:cfRule type="containsText" dxfId="587" priority="27" operator="containsText" text="OK"/>
    <x:cfRule type="containsText" dxfId="588" priority="28" operator="containsText" text="INFO"/>
    <x:cfRule type="containsText" dxfId="589" priority="29" operator="containsText" text="DRAFT"/>
    <x:cfRule type="containsText" dxfId="590" priority="30" operator="containsText" text="SCHEDULED"/>
    <x:cfRule type="containsText" dxfId="591" priority="31" operator="containsText" text="IN_PROGRESS"/>
    <x:cfRule type="containsText" dxfId="592" priority="32" operator="containsText" text="MODEL_REVIEW"/>
    <x:cfRule type="containsText" dxfId="593" priority="33" operator="containsText" text="READ"/>
  </x:conditionalFormatting>
  <x:conditionalFormatting sqref="J5:J14">
    <x:cfRule type="containsText" dxfId="594" priority="34" operator="containsText" text="CRITICAL"/>
    <x:cfRule type="containsText" dxfId="595" priority="35" operator="containsText" text="EXPIRED"/>
    <x:cfRule type="containsText" dxfId="596" priority="36" operator="containsText" text="FAILED"/>
    <x:cfRule type="containsText" dxfId="597" priority="37" operator="containsText" text="OVERDUE"/>
    <x:cfRule type="containsText" dxfId="598" priority="38" operator="containsText" text="REJECTED"/>
    <x:cfRule type="containsText" dxfId="599" priority="39" operator="containsText" text="OUT_OF_SERVICE"/>
    <x:cfRule type="containsText" dxfId="600" priority="40" operator="containsText" text="BELOW_THRESHOLD"/>
    <x:cfRule type="containsText" dxfId="601" priority="41" operator="containsText" text="HIGH"/>
    <x:cfRule type="containsText" dxfId="602" priority="42" operator="containsText" text="WARNING"/>
    <x:cfRule type="containsText" dxfId="603" priority="43" operator="containsText" text="DUE_SOON"/>
    <x:cfRule type="containsText" dxfId="604" priority="44" operator="containsText" text="OPEN"/>
    <x:cfRule type="containsText" dxfId="605" priority="45" operator="containsText" text="PENDING"/>
    <x:cfRule type="containsText" dxfId="606" priority="46" operator="containsText" text="SUSPENDED"/>
    <x:cfRule type="containsText" dxfId="607" priority="47" operator="containsText" text="TESTING"/>
    <x:cfRule type="containsText" dxfId="608" priority="48" operator="containsText" text="PARTIAL_FAILURE"/>
    <x:cfRule type="containsText" dxfId="609" priority="49" operator="containsText" text="LOW_STOCK"/>
    <x:cfRule type="containsText" dxfId="610" priority="50" operator="containsText" text="ACTIVE"/>
    <x:cfRule type="containsText" dxfId="611" priority="51" operator="containsText" text="VALID"/>
    <x:cfRule type="containsText" dxfId="612" priority="52" operator="containsText" text="SUCCESS"/>
    <x:cfRule type="containsText" dxfId="613" priority="53" operator="containsText" text="COMPLETED"/>
    <x:cfRule type="containsText" dxfId="614" priority="54" operator="containsText" text="CLOSED"/>
    <x:cfRule type="containsText" dxfId="615" priority="55" operator="containsText" text="CONNECTED"/>
    <x:cfRule type="containsText" dxfId="616" priority="56" operator="containsText" text="NORMAL"/>
    <x:cfRule type="containsText" dxfId="617" priority="57" operator="containsText" text="VERIFIED"/>
    <x:cfRule type="containsText" dxfId="618" priority="58" operator="containsText" text="RESOLVED"/>
    <x:cfRule type="containsText" dxfId="619" priority="59" operator="containsText" text="PASS"/>
    <x:cfRule type="containsText" dxfId="620" priority="60" operator="containsText" text="OK"/>
    <x:cfRule type="containsText" dxfId="621" priority="61" operator="containsText" text="INFO"/>
    <x:cfRule type="containsText" dxfId="622" priority="62" operator="containsText" text="DRAFT"/>
    <x:cfRule type="containsText" dxfId="623" priority="63" operator="containsText" text="SCHEDULED"/>
    <x:cfRule type="containsText" dxfId="624" priority="64" operator="containsText" text="IN_PROGRESS"/>
    <x:cfRule type="containsText" dxfId="625" priority="65" operator="containsText" text="MODEL_REVIEW"/>
    <x:cfRule type="containsText" dxfId="626" priority="66" operator="containsText" text="READ"/>
  </x:conditionalFormatting>
  <x:conditionalFormatting sqref="L5:L14">
    <x:cfRule type="containsText" dxfId="627" priority="67" operator="containsText" text="CRITICAL"/>
    <x:cfRule type="containsText" dxfId="628" priority="68" operator="containsText" text="EXPIRED"/>
    <x:cfRule type="containsText" dxfId="629" priority="69" operator="containsText" text="FAILED"/>
    <x:cfRule type="containsText" dxfId="630" priority="70" operator="containsText" text="OVERDUE"/>
    <x:cfRule type="containsText" dxfId="631" priority="71" operator="containsText" text="REJECTED"/>
    <x:cfRule type="containsText" dxfId="632" priority="72" operator="containsText" text="OUT_OF_SERVICE"/>
    <x:cfRule type="containsText" dxfId="633" priority="73" operator="containsText" text="BELOW_THRESHOLD"/>
    <x:cfRule type="containsText" dxfId="634" priority="74" operator="containsText" text="HIGH"/>
    <x:cfRule type="containsText" dxfId="635" priority="75" operator="containsText" text="WARNING"/>
    <x:cfRule type="containsText" dxfId="636" priority="76" operator="containsText" text="DUE_SOON"/>
    <x:cfRule type="containsText" dxfId="637" priority="77" operator="containsText" text="OPEN"/>
    <x:cfRule type="containsText" dxfId="638" priority="78" operator="containsText" text="PENDING"/>
    <x:cfRule type="containsText" dxfId="639" priority="79" operator="containsText" text="SUSPENDED"/>
    <x:cfRule type="containsText" dxfId="640" priority="80" operator="containsText" text="TESTING"/>
    <x:cfRule type="containsText" dxfId="641" priority="81" operator="containsText" text="PARTIAL_FAILURE"/>
    <x:cfRule type="containsText" dxfId="642" priority="82" operator="containsText" text="LOW_STOCK"/>
    <x:cfRule type="containsText" dxfId="643" priority="83" operator="containsText" text="ACTIVE"/>
    <x:cfRule type="containsText" dxfId="644" priority="84" operator="containsText" text="VALID"/>
    <x:cfRule type="containsText" dxfId="645" priority="85" operator="containsText" text="SUCCESS"/>
    <x:cfRule type="containsText" dxfId="646" priority="86" operator="containsText" text="COMPLETED"/>
    <x:cfRule type="containsText" dxfId="647" priority="87" operator="containsText" text="CLOSED"/>
    <x:cfRule type="containsText" dxfId="648" priority="88" operator="containsText" text="CONNECTED"/>
    <x:cfRule type="containsText" dxfId="649" priority="89" operator="containsText" text="NORMAL"/>
    <x:cfRule type="containsText" dxfId="650" priority="90" operator="containsText" text="VERIFIED"/>
    <x:cfRule type="containsText" dxfId="651" priority="91" operator="containsText" text="RESOLVED"/>
    <x:cfRule type="containsText" dxfId="652" priority="92" operator="containsText" text="PASS"/>
    <x:cfRule type="containsText" dxfId="653" priority="93" operator="containsText" text="OK"/>
    <x:cfRule type="containsText" dxfId="654" priority="94" operator="containsText" text="INFO"/>
    <x:cfRule type="containsText" dxfId="655" priority="95" operator="containsText" text="DRAFT"/>
    <x:cfRule type="containsText" dxfId="656" priority="96" operator="containsText" text="SCHEDULED"/>
    <x:cfRule type="containsText" dxfId="657" priority="97" operator="containsText" text="IN_PROGRESS"/>
    <x:cfRule type="containsText" dxfId="658" priority="98" operator="containsText" text="MODEL_REVIEW"/>
    <x:cfRule type="containsText" dxfId="659" priority="99" operator="containsText" text="READ"/>
  </x:conditionalFormatting>
  <x:dataValidations count="2">
    <x:dataValidation type="list" sqref="J5:J14">
      <x:formula1>"OPEN,CLOSED,REFERRED"</x:formula1>
    </x:dataValidation>
    <x:dataValidation type="list" sqref="L5:L14">
      <x:formula1>"CONFIDENTIAL"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dd110f01fc481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34" hidden="0" customWidth="1"/>
    <x:col min="7" max="7" width="13" hidden="0" customWidth="1"/>
  </x:cols>
  <x:sheetData>
    <x:row r="1" ht="32" customHeight="1">
      <x:c r="A1" s="17" t="str">
        <x:v>ESCA HSE | Training_Requirements</x:v>
      </x:c>
      <x:c r="B1" s="17" t="str">
        <x:v>ESCA HSE | Training_Requirements</x:v>
      </x:c>
      <x:c r="C1" s="17" t="str">
        <x:v>ESCA HSE | Training_Requirements</x:v>
      </x:c>
      <x:c r="D1" s="17" t="str">
        <x:v>ESCA HSE | Training_Requirements</x:v>
      </x:c>
      <x:c r="E1" s="17" t="str">
        <x:v>ESCA HSE | Training_Requirements</x:v>
      </x:c>
      <x:c r="F1" s="17" t="str">
        <x:v>ESCA HSE | Training_Requirements</x:v>
      </x:c>
      <x:c r="G1" s="17" t="str">
        <x:v>ESCA HSE | Training_Requirements</x:v>
      </x:c>
    </x:row>
    <x:row r="2" ht="28" customHeight="1">
      <x:c r="A2" s="21" t="str">
        <x:v>Mandatory training by group and scope | Owner: Member 2 | Synthetic sample data | Snapshot: 2026-08-13</x:v>
      </x:c>
      <x:c r="B2" s="21" t="str">
        <x:v>Mandatory training by group and scope | Owner: Member 2 | Synthetic sample data | Snapshot: 2026-08-13</x:v>
      </x:c>
      <x:c r="C2" s="21" t="str">
        <x:v>Mandatory training by group and scope | Owner: Member 2 | Synthetic sample data | Snapshot: 2026-08-13</x:v>
      </x:c>
      <x:c r="D2" s="21" t="str">
        <x:v>Mandatory training by group and scope | Owner: Member 2 | Synthetic sample data | Snapshot: 2026-08-13</x:v>
      </x:c>
      <x:c r="E2" s="21" t="str">
        <x:v>Mandatory training by group and scope | Owner: Member 2 | Synthetic sample data | Snapshot: 2026-08-13</x:v>
      </x:c>
      <x:c r="F2" s="21" t="str">
        <x:v>Mandatory training by group and scope | Owner: Member 2 | Synthetic sample data | Snapshot: 2026-08-13</x:v>
      </x:c>
      <x:c r="G2" s="21" t="str">
        <x:v>Mandatory training by group and scope | Owner: Member 2 | Synthetic sample data | Snapshot: 2026-08-13</x:v>
      </x:c>
    </x:row>
    <x:row r="4" ht="30" customHeight="1">
      <x:c r="A4" s="26" t="str">
        <x:v>requirement_id</x:v>
      </x:c>
      <x:c r="B4" s="26" t="str">
        <x:v>target_group</x:v>
      </x:c>
      <x:c r="C4" s="26" t="str">
        <x:v>course_id</x:v>
      </x:c>
      <x:c r="D4" s="26" t="str">
        <x:v>mandatory_flag</x:v>
      </x:c>
      <x:c r="E4" s="26" t="str">
        <x:v>scope_type</x:v>
      </x:c>
      <x:c r="F4" s="26" t="str">
        <x:v>notes</x:v>
      </x:c>
      <x:c r="G4" s="26" t="str">
        <x:v>active_flag</x:v>
      </x:c>
    </x:row>
    <x:row r="5" ht="24" customHeight="1">
      <x:c r="A5" s="32" t="str">
        <x:v>TRQ-001</x:v>
      </x:c>
      <x:c r="B5" s="32" t="str">
        <x:v>ALL_EMPLOYEES</x:v>
      </x:c>
      <x:c r="C5" s="32" t="str">
        <x:v>CRS-GEN</x:v>
      </x:c>
      <x:c r="D5" s="34" t="b">
        <x:v>1</x:v>
      </x:c>
      <x:c r="E5" s="32" t="str">
        <x:v>SITE</x:v>
      </x:c>
      <x:c r="F5" s="53" t="str">
        <x:v>General induction and annual refresher</x:v>
      </x:c>
      <x:c r="G5" s="34" t="b">
        <x:v>1</x:v>
      </x:c>
    </x:row>
    <x:row r="6" ht="24" customHeight="1">
      <x:c r="A6" s="35" t="str">
        <x:v>TRQ-002</x:v>
      </x:c>
      <x:c r="B6" s="35" t="str">
        <x:v>ALL_EMPLOYEES</x:v>
      </x:c>
      <x:c r="C6" s="35" t="str">
        <x:v>CRS-FIRE</x:v>
      </x:c>
      <x:c r="D6" s="37" t="b">
        <x:v>1</x:v>
      </x:c>
      <x:c r="E6" s="35" t="str">
        <x:v>SITE</x:v>
      </x:c>
      <x:c r="F6" s="54" t="str">
        <x:v>Fire and evacuation awareness</x:v>
      </x:c>
      <x:c r="G6" s="37" t="b">
        <x:v>1</x:v>
      </x:c>
    </x:row>
    <x:row r="7" ht="24" customHeight="1">
      <x:c r="A7" s="35" t="str">
        <x:v>TRQ-003</x:v>
      </x:c>
      <x:c r="B7" s="35" t="str">
        <x:v>MAINTENANCE_UTILITIES</x:v>
      </x:c>
      <x:c r="C7" s="35" t="str">
        <x:v>CRS-LOTO</x:v>
      </x:c>
      <x:c r="D7" s="37" t="b">
        <x:v>1</x:v>
      </x:c>
      <x:c r="E7" s="35" t="str">
        <x:v>ROLE_GROUP</x:v>
      </x:c>
      <x:c r="F7" s="54" t="str">
        <x:v>Required before isolation work</x:v>
      </x:c>
      <x:c r="G7" s="37" t="b">
        <x:v>1</x:v>
      </x:c>
    </x:row>
    <x:row r="8" ht="24" customHeight="1">
      <x:c r="A8" s="35" t="str">
        <x:v>TRQ-004</x:v>
      </x:c>
      <x:c r="B8" s="35" t="str">
        <x:v>MAINTENANCE</x:v>
      </x:c>
      <x:c r="C8" s="35" t="str">
        <x:v>CRS-WAH</x:v>
      </x:c>
      <x:c r="D8" s="37" t="b">
        <x:v>1</x:v>
      </x:c>
      <x:c r="E8" s="35" t="str">
        <x:v>ROLE_GROUP</x:v>
      </x:c>
      <x:c r="F8" s="54" t="str">
        <x:v>Required before work at height</x:v>
      </x:c>
      <x:c r="G8" s="37" t="b">
        <x:v>1</x:v>
      </x:c>
    </x:row>
    <x:row r="9" ht="24" customHeight="1">
      <x:c r="A9" s="35" t="str">
        <x:v>TRQ-005</x:v>
      </x:c>
      <x:c r="B9" s="35" t="str">
        <x:v>MAINTENANCE_UTILITIES</x:v>
      </x:c>
      <x:c r="C9" s="35" t="str">
        <x:v>CRS-CS</x:v>
      </x:c>
      <x:c r="D9" s="37" t="b">
        <x:v>1</x:v>
      </x:c>
      <x:c r="E9" s="35" t="str">
        <x:v>ROLE_GROUP</x:v>
      </x:c>
      <x:c r="F9" s="54" t="str">
        <x:v>Required before confined-space work</x:v>
      </x:c>
      <x:c r="G9" s="37" t="b">
        <x:v>1</x:v>
      </x:c>
    </x:row>
    <x:row r="10" ht="24" customHeight="1">
      <x:c r="A10" s="35" t="str">
        <x:v>TRQ-006</x:v>
      </x:c>
      <x:c r="B10" s="35" t="str">
        <x:v>WAREHOUSE</x:v>
      </x:c>
      <x:c r="C10" s="35" t="str">
        <x:v>CRS-FL</x:v>
      </x:c>
      <x:c r="D10" s="37" t="b">
        <x:v>1</x:v>
      </x:c>
      <x:c r="E10" s="35" t="str">
        <x:v>ROLE_GROUP</x:v>
      </x:c>
      <x:c r="F10" s="54" t="str">
        <x:v>Required for authorized forklift operators</x:v>
      </x:c>
      <x:c r="G10" s="37" t="b">
        <x:v>1</x:v>
      </x:c>
    </x:row>
    <x:row r="11" ht="24" customHeight="1">
      <x:c r="A11" s="35" t="str">
        <x:v>TRQ-007</x:v>
      </x:c>
      <x:c r="B11" s="35" t="str">
        <x:v>UTILITIES</x:v>
      </x:c>
      <x:c r="C11" s="35" t="str">
        <x:v>CRS-MV</x:v>
      </x:c>
      <x:c r="D11" s="37" t="b">
        <x:v>1</x:v>
      </x:c>
      <x:c r="E11" s="35" t="str">
        <x:v>DEPARTMENT</x:v>
      </x:c>
      <x:c r="F11" s="54" t="str">
        <x:v>Required for MV electrical tasks</x:v>
      </x:c>
      <x:c r="G11" s="37" t="b">
        <x:v>1</x:v>
      </x:c>
    </x:row>
    <x:row r="12" ht="24" customHeight="1">
      <x:c r="A12" s="35" t="str">
        <x:v>TRQ-008</x:v>
      </x:c>
      <x:c r="B12" s="35" t="str">
        <x:v>QC_MAINTENANCE_WAREHOUSE</x:v>
      </x:c>
      <x:c r="C12" s="35" t="str">
        <x:v>CRS-CHEM</x:v>
      </x:c>
      <x:c r="D12" s="37" t="b">
        <x:v>1</x:v>
      </x:c>
      <x:c r="E12" s="35" t="str">
        <x:v>ROLE_GROUP</x:v>
      </x:c>
      <x:c r="F12" s="54" t="str">
        <x:v>Required for chemical handlers</x:v>
      </x:c>
      <x:c r="G12" s="37" t="b">
        <x:v>1</x:v>
      </x:c>
    </x:row>
    <x:row r="13" ht="24" customHeight="1">
      <x:c r="A13" s="35" t="str">
        <x:v>TRQ-009</x:v>
      </x:c>
      <x:c r="B13" s="35" t="str">
        <x:v>SUPERVISORS</x:v>
      </x:c>
      <x:c r="C13" s="35" t="str">
        <x:v>CRS-RCA</x:v>
      </x:c>
      <x:c r="D13" s="37" t="b">
        <x:v>0</x:v>
      </x:c>
      <x:c r="E13" s="35" t="str">
        <x:v>ROLE_GROUP</x:v>
      </x:c>
      <x:c r="F13" s="54" t="str">
        <x:v>Recommended for investigation owners</x:v>
      </x:c>
      <x:c r="G13" s="37" t="b">
        <x:v>1</x:v>
      </x:c>
    </x:row>
    <x:row r="14" ht="24" customHeight="1">
      <x:c r="A14" s="38" t="str">
        <x:v>TRQ-010</x:v>
      </x:c>
      <x:c r="B14" s="38" t="str">
        <x:v>EMERGENCY_TEAM</x:v>
      </x:c>
      <x:c r="C14" s="38" t="str">
        <x:v>CRS-FA</x:v>
      </x:c>
      <x:c r="D14" s="40" t="b">
        <x:v>1</x:v>
      </x:c>
      <x:c r="E14" s="38" t="str">
        <x:v>ROLE_GROUP</x:v>
      </x:c>
      <x:c r="F14" s="55" t="str">
        <x:v>Required for designated first aiders</x:v>
      </x:c>
      <x:c r="G14" s="40" t="b">
        <x:v>1</x:v>
      </x:c>
    </x:row>
  </x:sheetData>
  <x:mergeCells>
    <x:mergeCell ref="A1:G1"/>
    <x:mergeCell ref="A2:G2"/>
  </x:mergeCells>
  <x:conditionalFormatting sqref="D5:D14">
    <x:cfRule type="containsText" dxfId="660" priority="1" operator="containsText" text="CRITICAL"/>
    <x:cfRule type="containsText" dxfId="661" priority="2" operator="containsText" text="EXPIRED"/>
    <x:cfRule type="containsText" dxfId="662" priority="3" operator="containsText" text="FAILED"/>
    <x:cfRule type="containsText" dxfId="663" priority="4" operator="containsText" text="OVERDUE"/>
    <x:cfRule type="containsText" dxfId="664" priority="5" operator="containsText" text="REJECTED"/>
    <x:cfRule type="containsText" dxfId="665" priority="6" operator="containsText" text="OUT_OF_SERVICE"/>
    <x:cfRule type="containsText" dxfId="666" priority="7" operator="containsText" text="BELOW_THRESHOLD"/>
    <x:cfRule type="containsText" dxfId="667" priority="8" operator="containsText" text="HIGH"/>
    <x:cfRule type="containsText" dxfId="668" priority="9" operator="containsText" text="WARNING"/>
    <x:cfRule type="containsText" dxfId="669" priority="10" operator="containsText" text="DUE_SOON"/>
    <x:cfRule type="containsText" dxfId="670" priority="11" operator="containsText" text="OPEN"/>
    <x:cfRule type="containsText" dxfId="671" priority="12" operator="containsText" text="PENDING"/>
    <x:cfRule type="containsText" dxfId="672" priority="13" operator="containsText" text="SUSPENDED"/>
    <x:cfRule type="containsText" dxfId="673" priority="14" operator="containsText" text="TESTING"/>
    <x:cfRule type="containsText" dxfId="674" priority="15" operator="containsText" text="PARTIAL_FAILURE"/>
    <x:cfRule type="containsText" dxfId="675" priority="16" operator="containsText" text="LOW_STOCK"/>
    <x:cfRule type="containsText" dxfId="676" priority="17" operator="containsText" text="ACTIVE"/>
    <x:cfRule type="containsText" dxfId="677" priority="18" operator="containsText" text="VALID"/>
    <x:cfRule type="containsText" dxfId="678" priority="19" operator="containsText" text="SUCCESS"/>
    <x:cfRule type="containsText" dxfId="679" priority="20" operator="containsText" text="COMPLETED"/>
    <x:cfRule type="containsText" dxfId="680" priority="21" operator="containsText" text="CLOSED"/>
    <x:cfRule type="containsText" dxfId="681" priority="22" operator="containsText" text="CONNECTED"/>
    <x:cfRule type="containsText" dxfId="682" priority="23" operator="containsText" text="NORMAL"/>
    <x:cfRule type="containsText" dxfId="683" priority="24" operator="containsText" text="VERIFIED"/>
    <x:cfRule type="containsText" dxfId="684" priority="25" operator="containsText" text="RESOLVED"/>
    <x:cfRule type="containsText" dxfId="685" priority="26" operator="containsText" text="PASS"/>
    <x:cfRule type="containsText" dxfId="686" priority="27" operator="containsText" text="OK"/>
    <x:cfRule type="containsText" dxfId="687" priority="28" operator="containsText" text="INFO"/>
    <x:cfRule type="containsText" dxfId="688" priority="29" operator="containsText" text="DRAFT"/>
    <x:cfRule type="containsText" dxfId="689" priority="30" operator="containsText" text="SCHEDULED"/>
    <x:cfRule type="containsText" dxfId="690" priority="31" operator="containsText" text="IN_PROGRESS"/>
    <x:cfRule type="containsText" dxfId="691" priority="32" operator="containsText" text="MODEL_REVIEW"/>
    <x:cfRule type="containsText" dxfId="692" priority="33" operator="containsText" text="READ"/>
  </x:conditionalFormatting>
  <x:conditionalFormatting sqref="G5:G14">
    <x:cfRule type="containsText" dxfId="693" priority="34" operator="containsText" text="CRITICAL"/>
    <x:cfRule type="containsText" dxfId="694" priority="35" operator="containsText" text="EXPIRED"/>
    <x:cfRule type="containsText" dxfId="695" priority="36" operator="containsText" text="FAILED"/>
    <x:cfRule type="containsText" dxfId="696" priority="37" operator="containsText" text="OVERDUE"/>
    <x:cfRule type="containsText" dxfId="697" priority="38" operator="containsText" text="REJECTED"/>
    <x:cfRule type="containsText" dxfId="698" priority="39" operator="containsText" text="OUT_OF_SERVICE"/>
    <x:cfRule type="containsText" dxfId="699" priority="40" operator="containsText" text="BELOW_THRESHOLD"/>
    <x:cfRule type="containsText" dxfId="700" priority="41" operator="containsText" text="HIGH"/>
    <x:cfRule type="containsText" dxfId="701" priority="42" operator="containsText" text="WARNING"/>
    <x:cfRule type="containsText" dxfId="702" priority="43" operator="containsText" text="DUE_SOON"/>
    <x:cfRule type="containsText" dxfId="703" priority="44" operator="containsText" text="OPEN"/>
    <x:cfRule type="containsText" dxfId="704" priority="45" operator="containsText" text="PENDING"/>
    <x:cfRule type="containsText" dxfId="705" priority="46" operator="containsText" text="SUSPENDED"/>
    <x:cfRule type="containsText" dxfId="706" priority="47" operator="containsText" text="TESTING"/>
    <x:cfRule type="containsText" dxfId="707" priority="48" operator="containsText" text="PARTIAL_FAILURE"/>
    <x:cfRule type="containsText" dxfId="708" priority="49" operator="containsText" text="LOW_STOCK"/>
    <x:cfRule type="containsText" dxfId="709" priority="50" operator="containsText" text="ACTIVE"/>
    <x:cfRule type="containsText" dxfId="710" priority="51" operator="containsText" text="VALID"/>
    <x:cfRule type="containsText" dxfId="711" priority="52" operator="containsText" text="SUCCESS"/>
    <x:cfRule type="containsText" dxfId="712" priority="53" operator="containsText" text="COMPLETED"/>
    <x:cfRule type="containsText" dxfId="713" priority="54" operator="containsText" text="CLOSED"/>
    <x:cfRule type="containsText" dxfId="714" priority="55" operator="containsText" text="CONNECTED"/>
    <x:cfRule type="containsText" dxfId="715" priority="56" operator="containsText" text="NORMAL"/>
    <x:cfRule type="containsText" dxfId="716" priority="57" operator="containsText" text="VERIFIED"/>
    <x:cfRule type="containsText" dxfId="717" priority="58" operator="containsText" text="RESOLVED"/>
    <x:cfRule type="containsText" dxfId="718" priority="59" operator="containsText" text="PASS"/>
    <x:cfRule type="containsText" dxfId="719" priority="60" operator="containsText" text="OK"/>
    <x:cfRule type="containsText" dxfId="720" priority="61" operator="containsText" text="INFO"/>
    <x:cfRule type="containsText" dxfId="721" priority="62" operator="containsText" text="DRAFT"/>
    <x:cfRule type="containsText" dxfId="722" priority="63" operator="containsText" text="SCHEDULED"/>
    <x:cfRule type="containsText" dxfId="723" priority="64" operator="containsText" text="IN_PROGRESS"/>
    <x:cfRule type="containsText" dxfId="724" priority="65" operator="containsText" text="MODEL_REVIEW"/>
    <x:cfRule type="containsText" dxfId="725" priority="66" operator="containsText" text="READ"/>
  </x:conditionalFormatting>
  <x:dataValidations count="1">
    <x:dataValidation type="list" sqref="E5:E14">
      <x:formula1>"SITE,DEPARTMENT,ROLE_GROUP"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592daa71d247b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32" customHeight="1">
      <x:c r="A1" s="17" t="str">
        <x:v>ESCA HSE | PPE_Transactions</x:v>
      </x:c>
      <x:c r="B1" s="17" t="str">
        <x:v>ESCA HSE | PPE_Transactions</x:v>
      </x:c>
      <x:c r="C1" s="17" t="str">
        <x:v>ESCA HSE | PPE_Transactions</x:v>
      </x:c>
      <x:c r="D1" s="17" t="str">
        <x:v>ESCA HSE | PPE_Transactions</x:v>
      </x:c>
      <x:c r="E1" s="17" t="str">
        <x:v>ESCA HSE | PPE_Transactions</x:v>
      </x:c>
      <x:c r="F1" s="17" t="str">
        <x:v>ESCA HSE | PPE_Transactions</x:v>
      </x:c>
      <x:c r="G1" s="17" t="str">
        <x:v>ESCA HSE | PPE_Transactions</x:v>
      </x:c>
      <x:c r="H1" s="17" t="str">
        <x:v>ESCA HSE | PPE_Transactions</x:v>
      </x:c>
      <x:c r="I1" s="17" t="str">
        <x:v>ESCA HSE | PPE_Transactions</x:v>
      </x:c>
      <x:c r="J1" s="17" t="str">
        <x:v>ESCA HSE | PPE_Transactions</x:v>
      </x:c>
    </x:row>
    <x:row r="2" ht="28" customHeight="1">
      <x:c r="A2" s="21" t="str">
        <x:v>PPE issue and return movements | Owner: Member 6 | Synthetic sample data | Snapshot: 2026-08-13</x:v>
      </x:c>
      <x:c r="B2" s="21" t="str">
        <x:v>PPE issue and return movements | Owner: Member 6 | Synthetic sample data | Snapshot: 2026-08-13</x:v>
      </x:c>
      <x:c r="C2" s="21" t="str">
        <x:v>PPE issue and return movements | Owner: Member 6 | Synthetic sample data | Snapshot: 2026-08-13</x:v>
      </x:c>
      <x:c r="D2" s="21" t="str">
        <x:v>PPE issue and return movements | Owner: Member 6 | Synthetic sample data | Snapshot: 2026-08-13</x:v>
      </x:c>
      <x:c r="E2" s="21" t="str">
        <x:v>PPE issue and return movements | Owner: Member 6 | Synthetic sample data | Snapshot: 2026-08-13</x:v>
      </x:c>
      <x:c r="F2" s="21" t="str">
        <x:v>PPE issue and return movements | Owner: Member 6 | Synthetic sample data | Snapshot: 2026-08-13</x:v>
      </x:c>
      <x:c r="G2" s="21" t="str">
        <x:v>PPE issue and return movements | Owner: Member 6 | Synthetic sample data | Snapshot: 2026-08-13</x:v>
      </x:c>
      <x:c r="H2" s="21" t="str">
        <x:v>PPE issue and return movements | Owner: Member 6 | Synthetic sample data | Snapshot: 2026-08-13</x:v>
      </x:c>
      <x:c r="I2" s="21" t="str">
        <x:v>PPE issue and return movements | Owner: Member 6 | Synthetic sample data | Snapshot: 2026-08-13</x:v>
      </x:c>
      <x:c r="J2" s="21" t="str">
        <x:v>PPE issue and return movements | Owner: Member 6 | Synthetic sample data | Snapshot: 2026-08-13</x:v>
      </x:c>
    </x:row>
    <x:row r="4" ht="30" customHeight="1">
      <x:c r="A4" s="26" t="str">
        <x:v>transaction_id</x:v>
      </x:c>
      <x:c r="B4" s="26" t="str">
        <x:v>ppe_item_id</x:v>
      </x:c>
      <x:c r="C4" s="26" t="str">
        <x:v>employee_id</x:v>
      </x:c>
      <x:c r="D4" s="26" t="str">
        <x:v>transaction_type</x:v>
      </x:c>
      <x:c r="E4" s="26" t="str">
        <x:v>quantity</x:v>
      </x:c>
      <x:c r="F4" s="26" t="str">
        <x:v>transacted_at</x:v>
      </x:c>
      <x:c r="G4" s="26" t="str">
        <x:v>processed_by</x:v>
      </x:c>
      <x:c r="H4" s="26" t="str">
        <x:v>reason</x:v>
      </x:c>
      <x:c r="I4" s="26" t="str">
        <x:v>permit_id</x:v>
      </x:c>
      <x:c r="J4" s="26" t="str">
        <x:v>notes</x:v>
      </x:c>
    </x:row>
    <x:row r="5" ht="24" customHeight="1">
      <x:c r="A5" s="32" t="str">
        <x:v>PPET-0001</x:v>
      </x:c>
      <x:c r="B5" s="32" t="str">
        <x:v>PPE-001</x:v>
      </x:c>
      <x:c r="C5" s="32" t="str">
        <x:v>EMP-017</x:v>
      </x:c>
      <x:c r="D5" s="32" t="str">
        <x:v>RETURN</x:v>
      </x:c>
      <x:c r="E5" s="33" t="n">
        <x:v>1</x:v>
      </x:c>
      <x:c r="F5" s="46" t="n">
        <x:v>46235.21875</x:v>
      </x:c>
      <x:c r="G5" s="32" t="str">
        <x:v>EMP-016</x:v>
      </x:c>
      <x:c r="H5" s="32" t="str">
        <x:v>Replacement</x:v>
      </x:c>
      <x:c r="I5" s="32" t="str">
        <x:v>PTW-2026-0412</x:v>
      </x:c>
      <x:c r="J5" s="53" t="str">
        <x:v>Synthetic stock movement</x:v>
      </x:c>
    </x:row>
    <x:row r="6" ht="24" customHeight="1">
      <x:c r="A6" s="35" t="str">
        <x:v>PPET-0002</x:v>
      </x:c>
      <x:c r="B6" s="35" t="str">
        <x:v>PPE-002</x:v>
      </x:c>
      <x:c r="C6" s="35" t="str">
        <x:v>EMP-018</x:v>
      </x:c>
      <x:c r="D6" s="35" t="str">
        <x:v>ISSUE</x:v>
      </x:c>
      <x:c r="E6" s="36" t="n">
        <x:v>2</x:v>
      </x:c>
      <x:c r="F6" s="47" t="n">
        <x:v>46236.260416666664</x:v>
      </x:c>
      <x:c r="G6" s="35" t="str">
        <x:v>EMP-016</x:v>
      </x:c>
      <x:c r="H6" s="35" t="str">
        <x:v>Routine issue</x:v>
      </x:c>
      <x:c r="I6" s="35"/>
      <x:c r="J6" s="54" t="str">
        <x:v>Synthetic stock movement</x:v>
      </x:c>
    </x:row>
    <x:row r="7" ht="24" customHeight="1">
      <x:c r="A7" s="35" t="str">
        <x:v>PPET-0003</x:v>
      </x:c>
      <x:c r="B7" s="35" t="str">
        <x:v>PPE-003</x:v>
      </x:c>
      <x:c r="C7" s="35" t="str">
        <x:v>EMP-019</x:v>
      </x:c>
      <x:c r="D7" s="35" t="str">
        <x:v>ISSUE</x:v>
      </x:c>
      <x:c r="E7" s="36" t="n">
        <x:v>1</x:v>
      </x:c>
      <x:c r="F7" s="47" t="n">
        <x:v>46237.302083333336</x:v>
      </x:c>
      <x:c r="G7" s="35" t="str">
        <x:v>EMP-016</x:v>
      </x:c>
      <x:c r="H7" s="35" t="str">
        <x:v>Routine issue</x:v>
      </x:c>
      <x:c r="I7" s="35"/>
      <x:c r="J7" s="54" t="str">
        <x:v>Synthetic stock movement</x:v>
      </x:c>
    </x:row>
    <x:row r="8" ht="24" customHeight="1">
      <x:c r="A8" s="35" t="str">
        <x:v>PPET-0004</x:v>
      </x:c>
      <x:c r="B8" s="35" t="str">
        <x:v>PPE-004</x:v>
      </x:c>
      <x:c r="C8" s="35" t="str">
        <x:v>EMP-020</x:v>
      </x:c>
      <x:c r="D8" s="35" t="str">
        <x:v>ISSUE</x:v>
      </x:c>
      <x:c r="E8" s="36" t="n">
        <x:v>2</x:v>
      </x:c>
      <x:c r="F8" s="47" t="n">
        <x:v>46238.34375</x:v>
      </x:c>
      <x:c r="G8" s="35" t="str">
        <x:v>EMP-016</x:v>
      </x:c>
      <x:c r="H8" s="35" t="str">
        <x:v>Replacement</x:v>
      </x:c>
      <x:c r="I8" s="35"/>
      <x:c r="J8" s="54" t="str">
        <x:v>Synthetic stock movement</x:v>
      </x:c>
    </x:row>
    <x:row r="9" ht="24" customHeight="1">
      <x:c r="A9" s="35" t="str">
        <x:v>PPET-0005</x:v>
      </x:c>
      <x:c r="B9" s="35" t="str">
        <x:v>PPE-005</x:v>
      </x:c>
      <x:c r="C9" s="35" t="str">
        <x:v>EMP-021</x:v>
      </x:c>
      <x:c r="D9" s="35" t="str">
        <x:v>ISSUE</x:v>
      </x:c>
      <x:c r="E9" s="36" t="n">
        <x:v>1</x:v>
      </x:c>
      <x:c r="F9" s="47" t="n">
        <x:v>46239.385416666664</x:v>
      </x:c>
      <x:c r="G9" s="35" t="str">
        <x:v>EMP-016</x:v>
      </x:c>
      <x:c r="H9" s="35" t="str">
        <x:v>Routine issue</x:v>
      </x:c>
      <x:c r="I9" s="35"/>
      <x:c r="J9" s="54" t="str">
        <x:v>Synthetic stock movement</x:v>
      </x:c>
    </x:row>
    <x:row r="10" ht="24" customHeight="1">
      <x:c r="A10" s="35" t="str">
        <x:v>PPET-0006</x:v>
      </x:c>
      <x:c r="B10" s="35" t="str">
        <x:v>PPE-006</x:v>
      </x:c>
      <x:c r="C10" s="35" t="str">
        <x:v>EMP-022</x:v>
      </x:c>
      <x:c r="D10" s="35" t="str">
        <x:v>ISSUE</x:v>
      </x:c>
      <x:c r="E10" s="36" t="n">
        <x:v>2</x:v>
      </x:c>
      <x:c r="F10" s="47" t="n">
        <x:v>46240.21875</x:v>
      </x:c>
      <x:c r="G10" s="35" t="str">
        <x:v>EMP-016</x:v>
      </x:c>
      <x:c r="H10" s="35" t="str">
        <x:v>Routine issue</x:v>
      </x:c>
      <x:c r="I10" s="35"/>
      <x:c r="J10" s="54" t="str">
        <x:v>Synthetic stock movement</x:v>
      </x:c>
    </x:row>
    <x:row r="11" ht="24" customHeight="1">
      <x:c r="A11" s="35" t="str">
        <x:v>PPET-0007</x:v>
      </x:c>
      <x:c r="B11" s="35" t="str">
        <x:v>PPE-007</x:v>
      </x:c>
      <x:c r="C11" s="35" t="str">
        <x:v>EMP-023</x:v>
      </x:c>
      <x:c r="D11" s="35" t="str">
        <x:v>ISSUE</x:v>
      </x:c>
      <x:c r="E11" s="36" t="n">
        <x:v>1</x:v>
      </x:c>
      <x:c r="F11" s="47" t="n">
        <x:v>46241.260416666664</x:v>
      </x:c>
      <x:c r="G11" s="35" t="str">
        <x:v>EMP-016</x:v>
      </x:c>
      <x:c r="H11" s="35" t="str">
        <x:v>Replacement</x:v>
      </x:c>
      <x:c r="I11" s="35" t="str">
        <x:v>PTW-2026-0406</x:v>
      </x:c>
      <x:c r="J11" s="54" t="str">
        <x:v>Synthetic stock movement</x:v>
      </x:c>
    </x:row>
    <x:row r="12" ht="24" customHeight="1">
      <x:c r="A12" s="35" t="str">
        <x:v>PPET-0008</x:v>
      </x:c>
      <x:c r="B12" s="35" t="str">
        <x:v>PPE-008</x:v>
      </x:c>
      <x:c r="C12" s="35" t="str">
        <x:v>EMP-024</x:v>
      </x:c>
      <x:c r="D12" s="35" t="str">
        <x:v>RETURN</x:v>
      </x:c>
      <x:c r="E12" s="36" t="n">
        <x:v>1</x:v>
      </x:c>
      <x:c r="F12" s="47" t="n">
        <x:v>46242.302083333336</x:v>
      </x:c>
      <x:c r="G12" s="35" t="str">
        <x:v>EMP-016</x:v>
      </x:c>
      <x:c r="H12" s="35" t="str">
        <x:v>Routine issue</x:v>
      </x:c>
      <x:c r="I12" s="35"/>
      <x:c r="J12" s="54" t="str">
        <x:v>Synthetic stock movement</x:v>
      </x:c>
    </x:row>
    <x:row r="13" ht="24" customHeight="1">
      <x:c r="A13" s="35" t="str">
        <x:v>PPET-0009</x:v>
      </x:c>
      <x:c r="B13" s="35" t="str">
        <x:v>PPE-009</x:v>
      </x:c>
      <x:c r="C13" s="35" t="str">
        <x:v>EMP-025</x:v>
      </x:c>
      <x:c r="D13" s="35" t="str">
        <x:v>ISSUE</x:v>
      </x:c>
      <x:c r="E13" s="36" t="n">
        <x:v>1</x:v>
      </x:c>
      <x:c r="F13" s="47" t="n">
        <x:v>46243.34375</x:v>
      </x:c>
      <x:c r="G13" s="35" t="str">
        <x:v>EMP-016</x:v>
      </x:c>
      <x:c r="H13" s="35" t="str">
        <x:v>Routine issue</x:v>
      </x:c>
      <x:c r="I13" s="35"/>
      <x:c r="J13" s="54" t="str">
        <x:v>Synthetic stock movement</x:v>
      </x:c>
    </x:row>
    <x:row r="14" ht="24" customHeight="1">
      <x:c r="A14" s="35" t="str">
        <x:v>PPET-0010</x:v>
      </x:c>
      <x:c r="B14" s="35" t="str">
        <x:v>PPE-010</x:v>
      </x:c>
      <x:c r="C14" s="35" t="str">
        <x:v>EMP-026</x:v>
      </x:c>
      <x:c r="D14" s="35" t="str">
        <x:v>ISSUE</x:v>
      </x:c>
      <x:c r="E14" s="36" t="n">
        <x:v>2</x:v>
      </x:c>
      <x:c r="F14" s="47" t="n">
        <x:v>46244.385416666664</x:v>
      </x:c>
      <x:c r="G14" s="35" t="str">
        <x:v>EMP-016</x:v>
      </x:c>
      <x:c r="H14" s="35" t="str">
        <x:v>Replacement</x:v>
      </x:c>
      <x:c r="I14" s="35"/>
      <x:c r="J14" s="54" t="str">
        <x:v>Synthetic stock movement</x:v>
      </x:c>
    </x:row>
    <x:row r="15" ht="24" customHeight="1">
      <x:c r="A15" s="35" t="str">
        <x:v>PPET-0011</x:v>
      </x:c>
      <x:c r="B15" s="35" t="str">
        <x:v>PPE-011</x:v>
      </x:c>
      <x:c r="C15" s="35" t="str">
        <x:v>EMP-027</x:v>
      </x:c>
      <x:c r="D15" s="35" t="str">
        <x:v>ISSUE</x:v>
      </x:c>
      <x:c r="E15" s="36" t="n">
        <x:v>1</x:v>
      </x:c>
      <x:c r="F15" s="47" t="n">
        <x:v>46245.21875</x:v>
      </x:c>
      <x:c r="G15" s="35" t="str">
        <x:v>EMP-016</x:v>
      </x:c>
      <x:c r="H15" s="35" t="str">
        <x:v>Routine issue</x:v>
      </x:c>
      <x:c r="I15" s="35"/>
      <x:c r="J15" s="54" t="str">
        <x:v>Synthetic stock movement</x:v>
      </x:c>
    </x:row>
    <x:row r="16" ht="24" customHeight="1">
      <x:c r="A16" s="35" t="str">
        <x:v>PPET-0012</x:v>
      </x:c>
      <x:c r="B16" s="35" t="str">
        <x:v>PPE-012</x:v>
      </x:c>
      <x:c r="C16" s="35" t="str">
        <x:v>EMP-028</x:v>
      </x:c>
      <x:c r="D16" s="35" t="str">
        <x:v>ISSUE</x:v>
      </x:c>
      <x:c r="E16" s="36" t="n">
        <x:v>2</x:v>
      </x:c>
      <x:c r="F16" s="47" t="n">
        <x:v>46246.260416666664</x:v>
      </x:c>
      <x:c r="G16" s="35" t="str">
        <x:v>EMP-016</x:v>
      </x:c>
      <x:c r="H16" s="35" t="str">
        <x:v>Routine issue</x:v>
      </x:c>
      <x:c r="I16" s="35"/>
      <x:c r="J16" s="54" t="str">
        <x:v>Synthetic stock movement</x:v>
      </x:c>
    </x:row>
    <x:row r="17" ht="24" customHeight="1">
      <x:c r="A17" s="35" t="str">
        <x:v>PPET-0013</x:v>
      </x:c>
      <x:c r="B17" s="35" t="str">
        <x:v>PPE-001</x:v>
      </x:c>
      <x:c r="C17" s="35" t="str">
        <x:v>EMP-029</x:v>
      </x:c>
      <x:c r="D17" s="35" t="str">
        <x:v>ISSUE</x:v>
      </x:c>
      <x:c r="E17" s="36" t="n">
        <x:v>1</x:v>
      </x:c>
      <x:c r="F17" s="47" t="n">
        <x:v>46235.302083333336</x:v>
      </x:c>
      <x:c r="G17" s="35" t="str">
        <x:v>EMP-016</x:v>
      </x:c>
      <x:c r="H17" s="35" t="str">
        <x:v>Replacement</x:v>
      </x:c>
      <x:c r="I17" s="35" t="str">
        <x:v>PTW-2026-0412</x:v>
      </x:c>
      <x:c r="J17" s="54" t="str">
        <x:v>Synthetic stock movement</x:v>
      </x:c>
    </x:row>
    <x:row r="18" ht="24" customHeight="1">
      <x:c r="A18" s="35" t="str">
        <x:v>PPET-0014</x:v>
      </x:c>
      <x:c r="B18" s="35" t="str">
        <x:v>PPE-002</x:v>
      </x:c>
      <x:c r="C18" s="35" t="str">
        <x:v>EMP-030</x:v>
      </x:c>
      <x:c r="D18" s="35" t="str">
        <x:v>ISSUE</x:v>
      </x:c>
      <x:c r="E18" s="36" t="n">
        <x:v>2</x:v>
      </x:c>
      <x:c r="F18" s="47" t="n">
        <x:v>46236.34375</x:v>
      </x:c>
      <x:c r="G18" s="35" t="str">
        <x:v>EMP-016</x:v>
      </x:c>
      <x:c r="H18" s="35" t="str">
        <x:v>Routine issue</x:v>
      </x:c>
      <x:c r="I18" s="35"/>
      <x:c r="J18" s="54" t="str">
        <x:v>Synthetic stock movement</x:v>
      </x:c>
    </x:row>
    <x:row r="19" ht="24" customHeight="1">
      <x:c r="A19" s="35" t="str">
        <x:v>PPET-0015</x:v>
      </x:c>
      <x:c r="B19" s="35" t="str">
        <x:v>PPE-003</x:v>
      </x:c>
      <x:c r="C19" s="35" t="str">
        <x:v>EMP-031</x:v>
      </x:c>
      <x:c r="D19" s="35" t="str">
        <x:v>RETURN</x:v>
      </x:c>
      <x:c r="E19" s="36" t="n">
        <x:v>1</x:v>
      </x:c>
      <x:c r="F19" s="47" t="n">
        <x:v>46237.385416666664</x:v>
      </x:c>
      <x:c r="G19" s="35" t="str">
        <x:v>EMP-016</x:v>
      </x:c>
      <x:c r="H19" s="35" t="str">
        <x:v>Routine issue</x:v>
      </x:c>
      <x:c r="I19" s="35"/>
      <x:c r="J19" s="54" t="str">
        <x:v>Synthetic stock movement</x:v>
      </x:c>
    </x:row>
    <x:row r="20" ht="24" customHeight="1">
      <x:c r="A20" s="35" t="str">
        <x:v>PPET-0016</x:v>
      </x:c>
      <x:c r="B20" s="35" t="str">
        <x:v>PPE-004</x:v>
      </x:c>
      <x:c r="C20" s="35" t="str">
        <x:v>EMP-032</x:v>
      </x:c>
      <x:c r="D20" s="35" t="str">
        <x:v>ISSUE</x:v>
      </x:c>
      <x:c r="E20" s="36" t="n">
        <x:v>2</x:v>
      </x:c>
      <x:c r="F20" s="47" t="n">
        <x:v>46238.21875</x:v>
      </x:c>
      <x:c r="G20" s="35" t="str">
        <x:v>EMP-016</x:v>
      </x:c>
      <x:c r="H20" s="35" t="str">
        <x:v>Replacement</x:v>
      </x:c>
      <x:c r="I20" s="35"/>
      <x:c r="J20" s="54" t="str">
        <x:v>Synthetic stock movement</x:v>
      </x:c>
    </x:row>
    <x:row r="21" ht="24" customHeight="1">
      <x:c r="A21" s="35" t="str">
        <x:v>PPET-0017</x:v>
      </x:c>
      <x:c r="B21" s="35" t="str">
        <x:v>PPE-005</x:v>
      </x:c>
      <x:c r="C21" s="35" t="str">
        <x:v>EMP-033</x:v>
      </x:c>
      <x:c r="D21" s="35" t="str">
        <x:v>ISSUE</x:v>
      </x:c>
      <x:c r="E21" s="36" t="n">
        <x:v>1</x:v>
      </x:c>
      <x:c r="F21" s="47" t="n">
        <x:v>46239.260416666664</x:v>
      </x:c>
      <x:c r="G21" s="35" t="str">
        <x:v>EMP-016</x:v>
      </x:c>
      <x:c r="H21" s="35" t="str">
        <x:v>Routine issue</x:v>
      </x:c>
      <x:c r="I21" s="35"/>
      <x:c r="J21" s="54" t="str">
        <x:v>Synthetic stock movement</x:v>
      </x:c>
    </x:row>
    <x:row r="22" ht="24" customHeight="1">
      <x:c r="A22" s="38" t="str">
        <x:v>PPET-0018</x:v>
      </x:c>
      <x:c r="B22" s="38" t="str">
        <x:v>PPE-006</x:v>
      </x:c>
      <x:c r="C22" s="38" t="str">
        <x:v>EMP-034</x:v>
      </x:c>
      <x:c r="D22" s="38" t="str">
        <x:v>ISSUE</x:v>
      </x:c>
      <x:c r="E22" s="39" t="n">
        <x:v>2</x:v>
      </x:c>
      <x:c r="F22" s="48" t="n">
        <x:v>46240.302083333336</x:v>
      </x:c>
      <x:c r="G22" s="38" t="str">
        <x:v>EMP-016</x:v>
      </x:c>
      <x:c r="H22" s="38" t="str">
        <x:v>Routine issue</x:v>
      </x:c>
      <x:c r="I22" s="38"/>
      <x:c r="J22" s="55" t="str">
        <x:v>Synthetic stock movement</x:v>
      </x:c>
    </x:row>
  </x:sheetData>
  <x:mergeCells>
    <x:mergeCell ref="A1:J1"/>
    <x:mergeCell ref="A2:J2"/>
  </x:mergeCells>
  <x:dataValidations count="1">
    <x:dataValidation type="list" sqref="D5:D22">
      <x:formula1>"ISSUE,RETURN,ADJUSTMENT,DISPOSAL"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f01a3a36f34ce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34" hidden="0" customWidth="1"/>
  </x:cols>
  <x:sheetData>
    <x:row r="1" ht="32" customHeight="1">
      <x:c r="A1" s="17" t="str">
        <x:v>ESCA HSE | Fixed_Safety_Assets</x:v>
      </x:c>
      <x:c r="B1" s="17" t="str">
        <x:v>ESCA HSE | Fixed_Safety_Assets</x:v>
      </x:c>
      <x:c r="C1" s="17" t="str">
        <x:v>ESCA HSE | Fixed_Safety_Assets</x:v>
      </x:c>
      <x:c r="D1" s="17" t="str">
        <x:v>ESCA HSE | Fixed_Safety_Assets</x:v>
      </x:c>
      <x:c r="E1" s="17" t="str">
        <x:v>ESCA HSE | Fixed_Safety_Assets</x:v>
      </x:c>
      <x:c r="F1" s="17" t="str">
        <x:v>ESCA HSE | Fixed_Safety_Assets</x:v>
      </x:c>
      <x:c r="G1" s="17" t="str">
        <x:v>ESCA HSE | Fixed_Safety_Assets</x:v>
      </x:c>
      <x:c r="H1" s="17" t="str">
        <x:v>ESCA HSE | Fixed_Safety_Assets</x:v>
      </x:c>
      <x:c r="I1" s="17" t="str">
        <x:v>ESCA HSE | Fixed_Safety_Assets</x:v>
      </x:c>
    </x:row>
    <x:row r="2" ht="28" customHeight="1">
      <x:c r="A2" s="21" t="str">
        <x:v>Fixed emergency and safety asset readiness | Owner: Member 6 | Synthetic sample data | Snapshot: 2026-08-13</x:v>
      </x:c>
      <x:c r="B2" s="21" t="str">
        <x:v>Fixed emergency and safety asset readiness | Owner: Member 6 | Synthetic sample data | Snapshot: 2026-08-13</x:v>
      </x:c>
      <x:c r="C2" s="21" t="str">
        <x:v>Fixed emergency and safety asset readiness | Owner: Member 6 | Synthetic sample data | Snapshot: 2026-08-13</x:v>
      </x:c>
      <x:c r="D2" s="21" t="str">
        <x:v>Fixed emergency and safety asset readiness | Owner: Member 6 | Synthetic sample data | Snapshot: 2026-08-13</x:v>
      </x:c>
      <x:c r="E2" s="21" t="str">
        <x:v>Fixed emergency and safety asset readiness | Owner: Member 6 | Synthetic sample data | Snapshot: 2026-08-13</x:v>
      </x:c>
      <x:c r="F2" s="21" t="str">
        <x:v>Fixed emergency and safety asset readiness | Owner: Member 6 | Synthetic sample data | Snapshot: 2026-08-13</x:v>
      </x:c>
      <x:c r="G2" s="21" t="str">
        <x:v>Fixed emergency and safety asset readiness | Owner: Member 6 | Synthetic sample data | Snapshot: 2026-08-13</x:v>
      </x:c>
      <x:c r="H2" s="21" t="str">
        <x:v>Fixed emergency and safety asset readiness | Owner: Member 6 | Synthetic sample data | Snapshot: 2026-08-13</x:v>
      </x:c>
      <x:c r="I2" s="21" t="str">
        <x:v>Fixed emergency and safety asset readiness | Owner: Member 6 | Synthetic sample data | Snapshot: 2026-08-13</x:v>
      </x:c>
    </x:row>
    <x:row r="4" ht="30" customHeight="1">
      <x:c r="A4" s="26" t="str">
        <x:v>asset_summary_id</x:v>
      </x:c>
      <x:c r="B4" s="26" t="str">
        <x:v>asset_type</x:v>
      </x:c>
      <x:c r="C4" s="26" t="str">
        <x:v>asset_name</x:v>
      </x:c>
      <x:c r="D4" s="26" t="str">
        <x:v>total_qty</x:v>
      </x:c>
      <x:c r="E4" s="26" t="str">
        <x:v>operational_qty</x:v>
      </x:c>
      <x:c r="F4" s="26" t="str">
        <x:v>last_test_date</x:v>
      </x:c>
      <x:c r="G4" s="26" t="str">
        <x:v>next_test_date</x:v>
      </x:c>
      <x:c r="H4" s="26" t="str">
        <x:v>status</x:v>
      </x:c>
      <x:c r="I4" s="26" t="str">
        <x:v>notes</x:v>
      </x:c>
    </x:row>
    <x:row r="5" ht="24" customHeight="1">
      <x:c r="A5" s="32" t="str">
        <x:v>FSA-001</x:v>
      </x:c>
      <x:c r="B5" s="32" t="str">
        <x:v>EMERGENCY_SHOWER_EYEWASH</x:v>
      </x:c>
      <x:c r="C5" s="32" t="str">
        <x:v>Emergency Shower and Eyewash</x:v>
      </x:c>
      <x:c r="D5" s="33" t="n">
        <x:v>14</x:v>
      </x:c>
      <x:c r="E5" s="33" t="n">
        <x:v>13</x:v>
      </x:c>
      <x:c r="F5" s="42" t="n">
        <x:v>46223</x:v>
      </x:c>
      <x:c r="G5" s="42" t="n">
        <x:v>46254</x:v>
      </x:c>
      <x:c r="H5" s="32" t="str">
        <x:v>PARTIAL</x:v>
      </x:c>
      <x:c r="I5" s="53" t="str">
        <x:v>One unit out of service</x:v>
      </x:c>
    </x:row>
    <x:row r="6" ht="24" customHeight="1">
      <x:c r="A6" s="35" t="str">
        <x:v>FSA-002</x:v>
      </x:c>
      <x:c r="B6" s="35" t="str">
        <x:v>EMERGENCY_EXIT</x:v>
      </x:c>
      <x:c r="C6" s="35" t="str">
        <x:v>Emergency Exits</x:v>
      </x:c>
      <x:c r="D6" s="36" t="n">
        <x:v>22</x:v>
      </x:c>
      <x:c r="E6" s="36" t="n">
        <x:v>22</x:v>
      </x:c>
      <x:c r="F6" s="43" t="n">
        <x:v>46235</x:v>
      </x:c>
      <x:c r="G6" s="43" t="n">
        <x:v>46266</x:v>
      </x:c>
      <x:c r="H6" s="35" t="str">
        <x:v>OPERATIONAL</x:v>
      </x:c>
      <x:c r="I6" s="54" t="str">
        <x:v>All access routes clear</x:v>
      </x:c>
    </x:row>
    <x:row r="7" ht="24" customHeight="1">
      <x:c r="A7" s="35" t="str">
        <x:v>FSA-003</x:v>
      </x:c>
      <x:c r="B7" s="35" t="str">
        <x:v>EMERGENCY_LIGHTING</x:v>
      </x:c>
      <x:c r="C7" s="35" t="str">
        <x:v>Emergency Lighting</x:v>
      </x:c>
      <x:c r="D7" s="36" t="n">
        <x:v>86</x:v>
      </x:c>
      <x:c r="E7" s="36" t="n">
        <x:v>81</x:v>
      </x:c>
      <x:c r="F7" s="43" t="n">
        <x:v>46228</x:v>
      </x:c>
      <x:c r="G7" s="43" t="n">
        <x:v>46259</x:v>
      </x:c>
      <x:c r="H7" s="35" t="str">
        <x:v>PARTIAL</x:v>
      </x:c>
      <x:c r="I7" s="54" t="str">
        <x:v>Five units awaiting repair</x:v>
      </x:c>
    </x:row>
    <x:row r="8" ht="24" customHeight="1">
      <x:c r="A8" s="35" t="str">
        <x:v>FSA-004</x:v>
      </x:c>
      <x:c r="B8" s="35" t="str">
        <x:v>MUSTER_POINT</x:v>
      </x:c>
      <x:c r="C8" s="35" t="str">
        <x:v>Muster Points</x:v>
      </x:c>
      <x:c r="D8" s="36" t="n">
        <x:v>6</x:v>
      </x:c>
      <x:c r="E8" s="36" t="n">
        <x:v>6</x:v>
      </x:c>
      <x:c r="F8" s="43" t="n">
        <x:v>46188</x:v>
      </x:c>
      <x:c r="G8" s="43" t="n">
        <x:v>46371</x:v>
      </x:c>
      <x:c r="H8" s="35" t="str">
        <x:v>OPERATIONAL</x:v>
      </x:c>
      <x:c r="I8" s="54" t="str">
        <x:v>Signage verified</x:v>
      </x:c>
    </x:row>
    <x:row r="9" ht="24" customHeight="1">
      <x:c r="A9" s="35" t="str">
        <x:v>FSA-005</x:v>
      </x:c>
      <x:c r="B9" s="35" t="str">
        <x:v>MANUAL_CALL_POINT</x:v>
      </x:c>
      <x:c r="C9" s="35" t="str">
        <x:v>Manual Fire Alarm Points</x:v>
      </x:c>
      <x:c r="D9" s="36" t="n">
        <x:v>31</x:v>
      </x:c>
      <x:c r="E9" s="36" t="n">
        <x:v>31</x:v>
      </x:c>
      <x:c r="F9" s="43" t="n">
        <x:v>46235</x:v>
      </x:c>
      <x:c r="G9" s="43" t="n">
        <x:v>46266</x:v>
      </x:c>
      <x:c r="H9" s="35" t="str">
        <x:v>OPERATIONAL</x:v>
      </x:c>
      <x:c r="I9" s="54" t="str">
        <x:v>All points tested</x:v>
      </x:c>
    </x:row>
    <x:row r="10" ht="24" customHeight="1">
      <x:c r="A10" s="35" t="str">
        <x:v>FSA-006</x:v>
      </x:c>
      <x:c r="B10" s="35" t="str">
        <x:v>FIXED_GAS_DETECTOR</x:v>
      </x:c>
      <x:c r="C10" s="35" t="str">
        <x:v>Fixed Gas Detectors</x:v>
      </x:c>
      <x:c r="D10" s="36" t="n">
        <x:v>18</x:v>
      </x:c>
      <x:c r="E10" s="36" t="n">
        <x:v>17</x:v>
      </x:c>
      <x:c r="F10" s="43" t="n">
        <x:v>46213</x:v>
      </x:c>
      <x:c r="G10" s="43" t="n">
        <x:v>46244</x:v>
      </x:c>
      <x:c r="H10" s="35" t="str">
        <x:v>PARTIAL</x:v>
      </x:c>
      <x:c r="I10" s="54" t="str">
        <x:v>One detector awaiting calibration</x:v>
      </x:c>
    </x:row>
    <x:row r="11" ht="24" customHeight="1">
      <x:c r="A11" s="35" t="str">
        <x:v>FSA-007</x:v>
      </x:c>
      <x:c r="B11" s="35" t="str">
        <x:v>AED</x:v>
      </x:c>
      <x:c r="C11" s="35" t="str">
        <x:v>Automated External Defibrillators</x:v>
      </x:c>
      <x:c r="D11" s="36" t="n">
        <x:v>4</x:v>
      </x:c>
      <x:c r="E11" s="36" t="n">
        <x:v>4</x:v>
      </x:c>
      <x:c r="F11" s="43" t="n">
        <x:v>46231</x:v>
      </x:c>
      <x:c r="G11" s="43" t="n">
        <x:v>46262</x:v>
      </x:c>
      <x:c r="H11" s="35" t="str">
        <x:v>OPERATIONAL</x:v>
      </x:c>
      <x:c r="I11" s="54" t="str">
        <x:v>Pads and batteries in date</x:v>
      </x:c>
    </x:row>
    <x:row r="12" ht="24" customHeight="1">
      <x:c r="A12" s="38" t="str">
        <x:v>FSA-008</x:v>
      </x:c>
      <x:c r="B12" s="38" t="str">
        <x:v>LOTO_BOARD</x:v>
      </x:c>
      <x:c r="C12" s="38" t="str">
        <x:v>LOTO Boards</x:v>
      </x:c>
      <x:c r="D12" s="39" t="n">
        <x:v>12</x:v>
      </x:c>
      <x:c r="E12" s="39" t="n">
        <x:v>12</x:v>
      </x:c>
      <x:c r="F12" s="44" t="n">
        <x:v>46236</x:v>
      </x:c>
      <x:c r="G12" s="44" t="n">
        <x:v>46267</x:v>
      </x:c>
      <x:c r="H12" s="38" t="str">
        <x:v>OPERATIONAL</x:v>
      </x:c>
      <x:c r="I12" s="55" t="str">
        <x:v>Kits complete</x:v>
      </x:c>
    </x:row>
  </x:sheetData>
  <x:mergeCells>
    <x:mergeCell ref="A1:I1"/>
    <x:mergeCell ref="A2:I2"/>
  </x:mergeCells>
  <x:conditionalFormatting sqref="H5:H12">
    <x:cfRule type="containsText" dxfId="726" priority="1" operator="containsText" text="CRITICAL"/>
    <x:cfRule type="containsText" dxfId="727" priority="2" operator="containsText" text="EXPIRED"/>
    <x:cfRule type="containsText" dxfId="728" priority="3" operator="containsText" text="FAILED"/>
    <x:cfRule type="containsText" dxfId="729" priority="4" operator="containsText" text="OVERDUE"/>
    <x:cfRule type="containsText" dxfId="730" priority="5" operator="containsText" text="REJECTED"/>
    <x:cfRule type="containsText" dxfId="731" priority="6" operator="containsText" text="OUT_OF_SERVICE"/>
    <x:cfRule type="containsText" dxfId="732" priority="7" operator="containsText" text="BELOW_THRESHOLD"/>
    <x:cfRule type="containsText" dxfId="733" priority="8" operator="containsText" text="HIGH"/>
    <x:cfRule type="containsText" dxfId="734" priority="9" operator="containsText" text="WARNING"/>
    <x:cfRule type="containsText" dxfId="735" priority="10" operator="containsText" text="DUE_SOON"/>
    <x:cfRule type="containsText" dxfId="736" priority="11" operator="containsText" text="OPEN"/>
    <x:cfRule type="containsText" dxfId="737" priority="12" operator="containsText" text="PENDING"/>
    <x:cfRule type="containsText" dxfId="738" priority="13" operator="containsText" text="SUSPENDED"/>
    <x:cfRule type="containsText" dxfId="739" priority="14" operator="containsText" text="TESTING"/>
    <x:cfRule type="containsText" dxfId="740" priority="15" operator="containsText" text="PARTIAL_FAILURE"/>
    <x:cfRule type="containsText" dxfId="741" priority="16" operator="containsText" text="LOW_STOCK"/>
    <x:cfRule type="containsText" dxfId="742" priority="17" operator="containsText" text="ACTIVE"/>
    <x:cfRule type="containsText" dxfId="743" priority="18" operator="containsText" text="VALID"/>
    <x:cfRule type="containsText" dxfId="744" priority="19" operator="containsText" text="SUCCESS"/>
    <x:cfRule type="containsText" dxfId="745" priority="20" operator="containsText" text="COMPLETED"/>
    <x:cfRule type="containsText" dxfId="746" priority="21" operator="containsText" text="CLOSED"/>
    <x:cfRule type="containsText" dxfId="747" priority="22" operator="containsText" text="CONNECTED"/>
    <x:cfRule type="containsText" dxfId="748" priority="23" operator="containsText" text="NORMAL"/>
    <x:cfRule type="containsText" dxfId="749" priority="24" operator="containsText" text="VERIFIED"/>
    <x:cfRule type="containsText" dxfId="750" priority="25" operator="containsText" text="RESOLVED"/>
    <x:cfRule type="containsText" dxfId="751" priority="26" operator="containsText" text="PASS"/>
    <x:cfRule type="containsText" dxfId="752" priority="27" operator="containsText" text="OK"/>
    <x:cfRule type="containsText" dxfId="753" priority="28" operator="containsText" text="INFO"/>
    <x:cfRule type="containsText" dxfId="754" priority="29" operator="containsText" text="DRAFT"/>
    <x:cfRule type="containsText" dxfId="755" priority="30" operator="containsText" text="SCHEDULED"/>
    <x:cfRule type="containsText" dxfId="756" priority="31" operator="containsText" text="IN_PROGRESS"/>
    <x:cfRule type="containsText" dxfId="757" priority="32" operator="containsText" text="MODEL_REVIEW"/>
    <x:cfRule type="containsText" dxfId="758" priority="33" operator="containsText" text="READ"/>
  </x:conditionalFormatting>
  <x:dataValidations count="1">
    <x:dataValidation type="list" sqref="H5:H12">
      <x:formula1>"OPERATIONAL,PARTIAL,OUT_OF_SERVICE"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f9a39ce534f4c"/>
  </x:tableParts>
</x:worksheet>
</file>