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16BA79DF-B598-48EB-BE16-B7CDF8DF1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Summary" sheetId="2" r:id="rId2"/>
    <sheet name="IoT_Sensors" sheetId="3" r:id="rId3"/>
    <sheet name="Sensor_Readings" sheetId="4" r:id="rId4"/>
    <sheet name="Cameras" sheetId="5" r:id="rId5"/>
    <sheet name="AI_Models" sheetId="6" r:id="rId6"/>
    <sheet name="AI_Events" sheetId="7" r:id="rId7"/>
    <sheet name="Wearable_Devices" sheetId="8" r:id="rId8"/>
    <sheet name="Wearable_Events" sheetId="9" r:id="rId9"/>
    <sheet name="Integrations" sheetId="10" r:id="rId10"/>
    <sheet name="API_Logs" sheetId="11" r:id="rId11"/>
    <sheet name="Integration_Outbox" sheetId="12" r:id="rId12"/>
    <sheet name="QA_Sessions" sheetId="13" r:id="rId13"/>
    <sheet name="QA_Messages" sheetId="14" r:id="rId14"/>
    <sheet name="QA_Tool_Calls" sheetId="15" r:id="rId15"/>
    <sheet name="Notifications" sheetId="16" r:id="rId16"/>
    <sheet name="Audit_Log" sheetId="17" r:id="rId17"/>
    <sheet name="Security_Events" sheetId="18" r:id="rId18"/>
    <sheet name="Automation_Rules" sheetId="19" r:id="rId19"/>
    <sheet name="Automation_Runs" sheetId="20" r:id="rId20"/>
    <sheet name="Automation_Action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B12" i="2"/>
  <c r="B11" i="2"/>
  <c r="B10" i="2"/>
  <c r="E9" i="2"/>
  <c r="B9" i="2"/>
  <c r="E8" i="2"/>
  <c r="B8" i="2"/>
  <c r="E7" i="2"/>
  <c r="B7" i="2"/>
</calcChain>
</file>

<file path=xl/sharedStrings.xml><?xml version="1.0" encoding="utf-8"?>
<sst xmlns="http://schemas.openxmlformats.org/spreadsheetml/2006/main" count="2332" uniqueCount="1082">
  <si>
    <t>ESCA HSE | AI, IoT, Integrations &amp; Audit Sample Data</t>
  </si>
  <si>
    <t>Synthetic AI/IoT events, integrations, notifications, audit and automation datasets</t>
  </si>
  <si>
    <t>Convention</t>
  </si>
  <si>
    <t>Details</t>
  </si>
  <si>
    <t>Dataset type</t>
  </si>
  <si>
    <t>100% synthetic training/development data; no real employee or medical data.</t>
  </si>
  <si>
    <t>Reference snapshot</t>
  </si>
  <si>
    <t>2026-08-13, timezone Africa/Cairo.</t>
  </si>
  <si>
    <t>Source references</t>
  </si>
  <si>
    <t>ESCA_HSE_Management_System.html (17-module mockup) and ESCA_HSE_Project_Plan.pdf.</t>
  </si>
  <si>
    <t>Identifiers</t>
  </si>
  <si>
    <t>Cross-file IDs are intentionally consistent. Do not rename primary keys without updating foreign keys.</t>
  </si>
  <si>
    <t>Dates</t>
  </si>
  <si>
    <t>Stored as real Excel dates/timestamps. Formula flags use the fixed as-of values in each Summary sheet.</t>
  </si>
  <si>
    <t>Status fields</t>
  </si>
  <si>
    <t>Use approved values from the Master workbook Status_Values sheet; do not invent new states silently.</t>
  </si>
  <si>
    <t>Health data</t>
  </si>
  <si>
    <t>Clinic and exam rows contain synthetic high-level fitness/restriction data only; no diagnoses or medications.</t>
  </si>
  <si>
    <t>Usage</t>
  </si>
  <si>
    <t>Suitable for schema design, import testing, API development, UI wiring, automation tests and demo rehearsal.</t>
  </si>
  <si>
    <t>Sheet</t>
  </si>
  <si>
    <t>Owner</t>
  </si>
  <si>
    <t>Purpose</t>
  </si>
  <si>
    <t>Rows</t>
  </si>
  <si>
    <t>IoT_Sensors</t>
  </si>
  <si>
    <t>Member 5</t>
  </si>
  <si>
    <t>Synthetic sensor registry</t>
  </si>
  <si>
    <t>Sensor_Readings</t>
  </si>
  <si>
    <t>Synthetic time-series readings</t>
  </si>
  <si>
    <t>Cameras</t>
  </si>
  <si>
    <t>Synthetic computer-vision devices</t>
  </si>
  <si>
    <t>AI_Models</t>
  </si>
  <si>
    <t>Synthetic AI model registry and validation metrics</t>
  </si>
  <si>
    <t>AI_Events</t>
  </si>
  <si>
    <t>Synthetic AI detections</t>
  </si>
  <si>
    <t>Wearable_Devices</t>
  </si>
  <si>
    <t>Synthetic wearable assignments</t>
  </si>
  <si>
    <t>Wearable_Events</t>
  </si>
  <si>
    <t>Synthetic wearable alerts</t>
  </si>
  <si>
    <t>Integrations</t>
  </si>
  <si>
    <t>Member 2</t>
  </si>
  <si>
    <t>External integration catalogue</t>
  </si>
  <si>
    <t>API_Logs</t>
  </si>
  <si>
    <t>Synthetic integration request logs</t>
  </si>
  <si>
    <t>Integration_Outbox</t>
  </si>
  <si>
    <t>Retry-safe integration outbox sample</t>
  </si>
  <si>
    <t>QA_Sessions</t>
  </si>
  <si>
    <t>Admin conversational Q&amp;A sessions</t>
  </si>
  <si>
    <t>QA_Messages</t>
  </si>
  <si>
    <t>Synthetic admin Q&amp;A messages and policy blocks</t>
  </si>
  <si>
    <t>QA_Tool_Calls</t>
  </si>
  <si>
    <t>Member 5 + Member 1</t>
  </si>
  <si>
    <t>Audited read-only Q&amp;A tool calls</t>
  </si>
  <si>
    <t>Notifications</t>
  </si>
  <si>
    <t>Member 4 + Member 1</t>
  </si>
  <si>
    <t>In-app notification records</t>
  </si>
  <si>
    <t>Audit_Log</t>
  </si>
  <si>
    <t>Member 1</t>
  </si>
  <si>
    <t>Append-only audit sample</t>
  </si>
  <si>
    <t>Security_Events</t>
  </si>
  <si>
    <t>Authentication, authorization and security events</t>
  </si>
  <si>
    <t>Automation_Rules</t>
  </si>
  <si>
    <t>Member 4</t>
  </si>
  <si>
    <t>Scheduled automation rule configuration</t>
  </si>
  <si>
    <t>Automation_Runs</t>
  </si>
  <si>
    <t>Automation execution history</t>
  </si>
  <si>
    <t>Automation_Actions</t>
  </si>
  <si>
    <t>Spring API action requests, retries and audit links</t>
  </si>
  <si>
    <t>ESCA HSE | AI, IoT, Integration &amp; Audit Summary</t>
  </si>
  <si>
    <t>Synthetic digital events, service integrations and automation evidence</t>
  </si>
  <si>
    <t>As-of date</t>
  </si>
  <si>
    <t>As-of timestamp</t>
  </si>
  <si>
    <t>KPI</t>
  </si>
  <si>
    <t>Value</t>
  </si>
  <si>
    <t>Sensor alert</t>
  </si>
  <si>
    <t>Count</t>
  </si>
  <si>
    <t>Sensor readings</t>
  </si>
  <si>
    <t>NORMAL</t>
  </si>
  <si>
    <t>Critical sensor readings</t>
  </si>
  <si>
    <t>WARNING</t>
  </si>
  <si>
    <t>Open AI events</t>
  </si>
  <si>
    <t>CRITICAL</t>
  </si>
  <si>
    <t>Integrations not connected</t>
  </si>
  <si>
    <t>Unread notifications</t>
  </si>
  <si>
    <t>Automation failed actions</t>
  </si>
  <si>
    <t>ESCA HSE | IoT_Sensors</t>
  </si>
  <si>
    <t>Synthetic sensor registry | Owner: Member 5 | Synthetic sample data | Snapshot: 2026-08-13</t>
  </si>
  <si>
    <t>sensor_id</t>
  </si>
  <si>
    <t>sensor_type</t>
  </si>
  <si>
    <t>department_id</t>
  </si>
  <si>
    <t>zone_id</t>
  </si>
  <si>
    <t>unit</t>
  </si>
  <si>
    <t>safe_min</t>
  </si>
  <si>
    <t>safe_max</t>
  </si>
  <si>
    <t>warning_min</t>
  </si>
  <si>
    <t>warning_max</t>
  </si>
  <si>
    <t>status</t>
  </si>
  <si>
    <t>last_calibrated_at</t>
  </si>
  <si>
    <t>next_calibration_at</t>
  </si>
  <si>
    <t>SNS-VOC-01</t>
  </si>
  <si>
    <t>VOC</t>
  </si>
  <si>
    <t>DEP-MAINT</t>
  </si>
  <si>
    <t>ZN-M01</t>
  </si>
  <si>
    <t>ppm</t>
  </si>
  <si>
    <t>ACTIVE</t>
  </si>
  <si>
    <t>SNS-NS-11</t>
  </si>
  <si>
    <t>NOISE</t>
  </si>
  <si>
    <t>DEP-PROD-A</t>
  </si>
  <si>
    <t>ZN-A1</t>
  </si>
  <si>
    <t>dB</t>
  </si>
  <si>
    <t>SNS-HT-05</t>
  </si>
  <si>
    <t>WBGT</t>
  </si>
  <si>
    <t>ZN-A2</t>
  </si>
  <si>
    <t>C</t>
  </si>
  <si>
    <t>SNS-AC-01</t>
  </si>
  <si>
    <t>ACETYLENE_LEL</t>
  </si>
  <si>
    <t>%LEL</t>
  </si>
  <si>
    <t>SNS-CS-02</t>
  </si>
  <si>
    <t>OXYGEN</t>
  </si>
  <si>
    <t>DEP-UTIL</t>
  </si>
  <si>
    <t>ZN-U02</t>
  </si>
  <si>
    <t>%</t>
  </si>
  <si>
    <t>SNS-PM-03</t>
  </si>
  <si>
    <t>PM2_5</t>
  </si>
  <si>
    <t>DEP-WH</t>
  </si>
  <si>
    <t>ZN-W01</t>
  </si>
  <si>
    <t>ug/m3</t>
  </si>
  <si>
    <t>SNS-TMP-01</t>
  </si>
  <si>
    <t>TEMPERATURE</t>
  </si>
  <si>
    <t>DEP-QC</t>
  </si>
  <si>
    <t>ZN-Q01</t>
  </si>
  <si>
    <t>SNS-GAS-09</t>
  </si>
  <si>
    <t>LPG_LEL</t>
  </si>
  <si>
    <t>ZN-CHEM</t>
  </si>
  <si>
    <t>MAINTENANCE</t>
  </si>
  <si>
    <t>ESCA HSE | Sensor_Readings</t>
  </si>
  <si>
    <t>Synthetic time-series readings | Owner: Member 5 | Synthetic sample data | Snapshot: 2026-08-13</t>
  </si>
  <si>
    <t>reading_id</t>
  </si>
  <si>
    <t>captured_at</t>
  </si>
  <si>
    <t>value</t>
  </si>
  <si>
    <t>quality</t>
  </si>
  <si>
    <t>alert_level</t>
  </si>
  <si>
    <t>RDG-0001</t>
  </si>
  <si>
    <t>GOOD</t>
  </si>
  <si>
    <t>RDG-0002</t>
  </si>
  <si>
    <t>RDG-0003</t>
  </si>
  <si>
    <t>RDG-0004</t>
  </si>
  <si>
    <t>RDG-0005</t>
  </si>
  <si>
    <t>RDG-0006</t>
  </si>
  <si>
    <t>RDG-0007</t>
  </si>
  <si>
    <t>RDG-0008</t>
  </si>
  <si>
    <t>RDG-0009</t>
  </si>
  <si>
    <t>RDG-0010</t>
  </si>
  <si>
    <t>RDG-0011</t>
  </si>
  <si>
    <t>RDG-0012</t>
  </si>
  <si>
    <t>RDG-0013</t>
  </si>
  <si>
    <t>RDG-0014</t>
  </si>
  <si>
    <t>RDG-0015</t>
  </si>
  <si>
    <t>RDG-0016</t>
  </si>
  <si>
    <t>RDG-0017</t>
  </si>
  <si>
    <t>RDG-0018</t>
  </si>
  <si>
    <t>RDG-0019</t>
  </si>
  <si>
    <t>RDG-0020</t>
  </si>
  <si>
    <t>RDG-0021</t>
  </si>
  <si>
    <t>RDG-0022</t>
  </si>
  <si>
    <t>RDG-0023</t>
  </si>
  <si>
    <t>RDG-0024</t>
  </si>
  <si>
    <t>RDG-0025</t>
  </si>
  <si>
    <t>RDG-0026</t>
  </si>
  <si>
    <t>RDG-0027</t>
  </si>
  <si>
    <t>RDG-0028</t>
  </si>
  <si>
    <t>RDG-0029</t>
  </si>
  <si>
    <t>RDG-0030</t>
  </si>
  <si>
    <t>RDG-0031</t>
  </si>
  <si>
    <t>RDG-0032</t>
  </si>
  <si>
    <t>SUSPECT</t>
  </si>
  <si>
    <t>ESCA HSE | Cameras</t>
  </si>
  <si>
    <t>Synthetic computer-vision devices | Owner: Member 5 | Synthetic sample data | Snapshot: 2026-08-13</t>
  </si>
  <si>
    <t>camera_id</t>
  </si>
  <si>
    <t>capabilities</t>
  </si>
  <si>
    <t>model_version</t>
  </si>
  <si>
    <t>processing_fps</t>
  </si>
  <si>
    <t>last_heartbeat_at</t>
  </si>
  <si>
    <t>stream_ref</t>
  </si>
  <si>
    <t>CAM-A-01</t>
  </si>
  <si>
    <t>PPE;RESTRICTED_ZONE</t>
  </si>
  <si>
    <t>ppe-v3.4</t>
  </si>
  <si>
    <t>rtsp://demo.local/cam-a-01</t>
  </si>
  <si>
    <t>CAM-A-07</t>
  </si>
  <si>
    <t>PPE;FIRE;MAN_DOWN</t>
  </si>
  <si>
    <t>rtsp://demo.local/cam-a-07</t>
  </si>
  <si>
    <t>CAM-B-02</t>
  </si>
  <si>
    <t>ZN-B1</t>
  </si>
  <si>
    <t>rtsp://demo.local/cam-b-02</t>
  </si>
  <si>
    <t>CAM-M-01</t>
  </si>
  <si>
    <t>PPE;FIRE</t>
  </si>
  <si>
    <t>rtsp://demo.local/cam-m-01</t>
  </si>
  <si>
    <t>CAM-M-03</t>
  </si>
  <si>
    <t>RESTRICTED_ZONE;MAN_DOWN</t>
  </si>
  <si>
    <t>safety-v2.8</t>
  </si>
  <si>
    <t>rtsp://demo.local/cam-m-03</t>
  </si>
  <si>
    <t>CAM-U-01</t>
  </si>
  <si>
    <t>ZN-U01</t>
  </si>
  <si>
    <t>rtsp://demo.local/cam-u-01</t>
  </si>
  <si>
    <t>CAM-W-04</t>
  </si>
  <si>
    <t>ZN-W02</t>
  </si>
  <si>
    <t>FORKLIFT_PROXIMITY</t>
  </si>
  <si>
    <t>logistics-v1.9</t>
  </si>
  <si>
    <t>rtsp://demo.local/cam-w-04</t>
  </si>
  <si>
    <t>CAM-C-01</t>
  </si>
  <si>
    <t>PPE;SPILL</t>
  </si>
  <si>
    <t>chem-v1.2</t>
  </si>
  <si>
    <t>OFFLINE</t>
  </si>
  <si>
    <t>rtsp://demo.local/cam-c-01</t>
  </si>
  <si>
    <t>ESCA HSE | AI_Models</t>
  </si>
  <si>
    <t>Synthetic AI model registry and validation metrics | Owner: Member 5 | Synthetic sample data | Snapshot: 2026-08-13</t>
  </si>
  <si>
    <t>model_id</t>
  </si>
  <si>
    <t>model_name</t>
  </si>
  <si>
    <t>version</t>
  </si>
  <si>
    <t>task_type</t>
  </si>
  <si>
    <t>target_labels</t>
  </si>
  <si>
    <t>confidence_threshold</t>
  </si>
  <si>
    <t>validation_precision</t>
  </si>
  <si>
    <t>validation_recall</t>
  </si>
  <si>
    <t>deployed_at</t>
  </si>
  <si>
    <t>MDL-PPE-HELMET</t>
  </si>
  <si>
    <t>Helmet Detector</t>
  </si>
  <si>
    <t>3.4.0</t>
  </si>
  <si>
    <t>OBJECT_DETECTION</t>
  </si>
  <si>
    <t>PERSON;HARD_HAT</t>
  </si>
  <si>
    <t>DEPLOYED</t>
  </si>
  <si>
    <t>MDL-PPE-VEST</t>
  </si>
  <si>
    <t>Safety Vest Detector</t>
  </si>
  <si>
    <t>3.2.1</t>
  </si>
  <si>
    <t>PERSON;HI_VIS_VEST</t>
  </si>
  <si>
    <t>MDL-PPE-EYE</t>
  </si>
  <si>
    <t>Safety Goggles Detector</t>
  </si>
  <si>
    <t>2.8.0</t>
  </si>
  <si>
    <t>PERSON;SAFETY_GOGGLES</t>
  </si>
  <si>
    <t>MDL-GEOFENCE</t>
  </si>
  <si>
    <t>Restricted Zone Monitor</t>
  </si>
  <si>
    <t>4.1.0</t>
  </si>
  <si>
    <t>ZONE_INTRUSION</t>
  </si>
  <si>
    <t>PERSON;RESTRICTED_ZONE</t>
  </si>
  <si>
    <t>MDL-FIRE</t>
  </si>
  <si>
    <t>Smoke and Fire Detector</t>
  </si>
  <si>
    <t>2.5.2</t>
  </si>
  <si>
    <t>EVENT_DETECTION</t>
  </si>
  <si>
    <t>SMOKE;FLAME</t>
  </si>
  <si>
    <t>MDL-MANDOWN</t>
  </si>
  <si>
    <t>Man Down Detector</t>
  </si>
  <si>
    <t>1.9.4</t>
  </si>
  <si>
    <t>POSE_DETECTION</t>
  </si>
  <si>
    <t>FALL;MAN_DOWN</t>
  </si>
  <si>
    <t>MDL-SPILL</t>
  </si>
  <si>
    <t>Liquid Spill Detector</t>
  </si>
  <si>
    <t>0.9.0</t>
  </si>
  <si>
    <t>SEGMENTATION</t>
  </si>
  <si>
    <t>LIQUID_SPILL</t>
  </si>
  <si>
    <t>TRAINING</t>
  </si>
  <si>
    <t>MDL-FORKLIFT</t>
  </si>
  <si>
    <t>Forklift Proximity</t>
  </si>
  <si>
    <t>2.2.0</t>
  </si>
  <si>
    <t>PROXIMITY_EVENT</t>
  </si>
  <si>
    <t>PERSON;FORKLIFT</t>
  </si>
  <si>
    <t>ESCA HSE | AI_Events</t>
  </si>
  <si>
    <t>Synthetic AI detections | Owner: Member 5 | Synthetic sample data | Snapshot: 2026-08-13</t>
  </si>
  <si>
    <t>ai_event_id</t>
  </si>
  <si>
    <t>detected_at</t>
  </si>
  <si>
    <t>event_type</t>
  </si>
  <si>
    <t>employee_id</t>
  </si>
  <si>
    <t>confidence_pct</t>
  </si>
  <si>
    <t>severity</t>
  </si>
  <si>
    <t>action_taken</t>
  </si>
  <si>
    <t>linked_incident_id</t>
  </si>
  <si>
    <t>AIE-0001</t>
  </si>
  <si>
    <t>PPE_VIOLATION</t>
  </si>
  <si>
    <t>EMP-017</t>
  </si>
  <si>
    <t>HIGH</t>
  </si>
  <si>
    <t>OPEN</t>
  </si>
  <si>
    <t>Supervisor notified</t>
  </si>
  <si>
    <t>AIE-0002</t>
  </si>
  <si>
    <t>EMP-019</t>
  </si>
  <si>
    <t>MEDIUM</t>
  </si>
  <si>
    <t>RESOLVED</t>
  </si>
  <si>
    <t>Correct PPE restored</t>
  </si>
  <si>
    <t>AIE-0003</t>
  </si>
  <si>
    <t>RESTRICTED_ZONE</t>
  </si>
  <si>
    <t>Local audio warning</t>
  </si>
  <si>
    <t>AIE-0004</t>
  </si>
  <si>
    <t>EMP-031</t>
  </si>
  <si>
    <t>Vest issued</t>
  </si>
  <si>
    <t>AIE-0005</t>
  </si>
  <si>
    <t>EMP-033</t>
  </si>
  <si>
    <t>Cabin warning</t>
  </si>
  <si>
    <t>AIE-0006</t>
  </si>
  <si>
    <t>EMP-029</t>
  </si>
  <si>
    <t>No matching permit</t>
  </si>
  <si>
    <t>AIE-0007</t>
  </si>
  <si>
    <t>Welding mask used</t>
  </si>
  <si>
    <t>AIE-0008</t>
  </si>
  <si>
    <t>MAN_DOWN</t>
  </si>
  <si>
    <t>EMP-032</t>
  </si>
  <si>
    <t>FALSE_POSITIVE</t>
  </si>
  <si>
    <t>Supervisor verified safe</t>
  </si>
  <si>
    <t>AIE-0009</t>
  </si>
  <si>
    <t>SMOKE_DETECTION</t>
  </si>
  <si>
    <t>Hot-work plume verified</t>
  </si>
  <si>
    <t>AIE-0010</t>
  </si>
  <si>
    <t>SPILL_DETECTION</t>
  </si>
  <si>
    <t>MODEL_REVIEW</t>
  </si>
  <si>
    <t>Low-confidence event</t>
  </si>
  <si>
    <t>AIE-0011</t>
  </si>
  <si>
    <t>Repeat event 2</t>
  </si>
  <si>
    <t>AIE-0012</t>
  </si>
  <si>
    <t>Repeat event 3 - training action</t>
  </si>
  <si>
    <t>INC-2026-0081</t>
  </si>
  <si>
    <t>AIE-0013</t>
  </si>
  <si>
    <t>EMP-026</t>
  </si>
  <si>
    <t>Authorized employee verified</t>
  </si>
  <si>
    <t>AIE-0014</t>
  </si>
  <si>
    <t>EMP-024</t>
  </si>
  <si>
    <t>Route corrected</t>
  </si>
  <si>
    <t>AIE-0015</t>
  </si>
  <si>
    <t>EMP-035</t>
  </si>
  <si>
    <t>Safety glasses missing</t>
  </si>
  <si>
    <t>AIE-0016</t>
  </si>
  <si>
    <t>FIRE_DETECTION</t>
  </si>
  <si>
    <t>Welding work under permit</t>
  </si>
  <si>
    <t>AIE-0017</t>
  </si>
  <si>
    <t>EMP-018</t>
  </si>
  <si>
    <t>Helmet restored</t>
  </si>
  <si>
    <t>AIE-0018</t>
  </si>
  <si>
    <t>EMP-021</t>
  </si>
  <si>
    <t>Work authorization confirmed</t>
  </si>
  <si>
    <t>ESCA HSE | Wearable_Devices</t>
  </si>
  <si>
    <t>Synthetic wearable assignments | Owner: Member 5 | Synthetic sample data | Snapshot: 2026-08-13</t>
  </si>
  <si>
    <t>device_id</t>
  </si>
  <si>
    <t>device_type</t>
  </si>
  <si>
    <t>assigned_at</t>
  </si>
  <si>
    <t>battery_pct</t>
  </si>
  <si>
    <t>WRB-0001</t>
  </si>
  <si>
    <t>SMART_BADGE</t>
  </si>
  <si>
    <t>WRB-0002</t>
  </si>
  <si>
    <t>HEAT_BAND</t>
  </si>
  <si>
    <t>WRB-0003</t>
  </si>
  <si>
    <t>WRB-0004</t>
  </si>
  <si>
    <t>EMP-020</t>
  </si>
  <si>
    <t>WRB-0005</t>
  </si>
  <si>
    <t>MAN_DOWN_BADGE</t>
  </si>
  <si>
    <t>WRB-0006</t>
  </si>
  <si>
    <t>EMP-022</t>
  </si>
  <si>
    <t>WRB-0007</t>
  </si>
  <si>
    <t>EMP-023</t>
  </si>
  <si>
    <t>FORKLIFT_TAG</t>
  </si>
  <si>
    <t>WRB-0008</t>
  </si>
  <si>
    <t>WRB-0009</t>
  </si>
  <si>
    <t>CHARGING</t>
  </si>
  <si>
    <t>WRB-0010</t>
  </si>
  <si>
    <t>EMP-027</t>
  </si>
  <si>
    <t>GAS_BADGE</t>
  </si>
  <si>
    <t>ESCA HSE | Wearable_Events</t>
  </si>
  <si>
    <t>Synthetic wearable alerts | Owner: Member 5 | Synthetic sample data | Snapshot: 2026-08-13</t>
  </si>
  <si>
    <t>wearable_event_id</t>
  </si>
  <si>
    <t>metric_type</t>
  </si>
  <si>
    <t>threshold</t>
  </si>
  <si>
    <t>WRE-001</t>
  </si>
  <si>
    <t>HEART_RATE</t>
  </si>
  <si>
    <t>bpm</t>
  </si>
  <si>
    <t>Rest recommendation</t>
  </si>
  <si>
    <t>WRE-002</t>
  </si>
  <si>
    <t>HEAT_STRAIN</t>
  </si>
  <si>
    <t>index</t>
  </si>
  <si>
    <t>10 minute rest cycle</t>
  </si>
  <si>
    <t>WRE-003</t>
  </si>
  <si>
    <t>event</t>
  </si>
  <si>
    <t>Supervisor verified</t>
  </si>
  <si>
    <t>WRE-004</t>
  </si>
  <si>
    <t>m</t>
  </si>
  <si>
    <t>WRE-005</t>
  </si>
  <si>
    <t>Confined-space permit suspended</t>
  </si>
  <si>
    <t>WRE-006</t>
  </si>
  <si>
    <t>CLOSED</t>
  </si>
  <si>
    <t>No action</t>
  </si>
  <si>
    <t>WRE-007</t>
  </si>
  <si>
    <t>Hydration reminder</t>
  </si>
  <si>
    <t>WRE-008</t>
  </si>
  <si>
    <t>Short rest taken</t>
  </si>
  <si>
    <t>WRE-009</t>
  </si>
  <si>
    <t>SOS</t>
  </si>
  <si>
    <t>TEST</t>
  </si>
  <si>
    <t>Scheduled device test</t>
  </si>
  <si>
    <t>WRE-010</t>
  </si>
  <si>
    <t>BATTERY</t>
  </si>
  <si>
    <t>Device charging</t>
  </si>
  <si>
    <t>ESCA HSE | Integrations</t>
  </si>
  <si>
    <t>External integration catalogue | Owner: Member 2 | Synthetic sample data | Snapshot: 2026-08-13</t>
  </si>
  <si>
    <t>integration_id</t>
  </si>
  <si>
    <t>system_name</t>
  </si>
  <si>
    <t>system_type</t>
  </si>
  <si>
    <t>protocol</t>
  </si>
  <si>
    <t>direction</t>
  </si>
  <si>
    <t>frequency</t>
  </si>
  <si>
    <t>base_endpoint</t>
  </si>
  <si>
    <t>auth_method</t>
  </si>
  <si>
    <t>owner_employee_id</t>
  </si>
  <si>
    <t>INT-D365</t>
  </si>
  <si>
    <t>Microsoft Dynamics 365 F&amp;O</t>
  </si>
  <si>
    <t>ERP</t>
  </si>
  <si>
    <t>OData;REST</t>
  </si>
  <si>
    <t>BIDIRECTIONAL</t>
  </si>
  <si>
    <t>REAL_TIME</t>
  </si>
  <si>
    <t>https://d365.example.local/api</t>
  </si>
  <si>
    <t>OAUTH2_CLIENT_CREDENTIALS</t>
  </si>
  <si>
    <t>CONNECTED</t>
  </si>
  <si>
    <t>EMP-007</t>
  </si>
  <si>
    <t>INT-HRMS</t>
  </si>
  <si>
    <t>HRMS</t>
  </si>
  <si>
    <t>HUMAN_RESOURCES</t>
  </si>
  <si>
    <t>REST</t>
  </si>
  <si>
    <t>INBOUND</t>
  </si>
  <si>
    <t>HOURLY</t>
  </si>
  <si>
    <t>https://hrms.example.local/api</t>
  </si>
  <si>
    <t>EMP-028</t>
  </si>
  <si>
    <t>INT-ACCESS</t>
  </si>
  <si>
    <t>Access Control</t>
  </si>
  <si>
    <t>PHYSICAL_ACCESS</t>
  </si>
  <si>
    <t>WEBHOOK;REST</t>
  </si>
  <si>
    <t>https://access.example.local/api</t>
  </si>
  <si>
    <t>MUTUAL_TLS</t>
  </si>
  <si>
    <t>EMP-006</t>
  </si>
  <si>
    <t>INT-LMS</t>
  </si>
  <si>
    <t>Learning Management System</t>
  </si>
  <si>
    <t>DAILY</t>
  </si>
  <si>
    <t>https://lms.example.local/api</t>
  </si>
  <si>
    <t>EMP-036</t>
  </si>
  <si>
    <t>INT-CCTV</t>
  </si>
  <si>
    <t>CCTV/VMS</t>
  </si>
  <si>
    <t>VIDEO_MANAGEMENT</t>
  </si>
  <si>
    <t>RTSP;GRPC</t>
  </si>
  <si>
    <t>STREAMING</t>
  </si>
  <si>
    <t>rtsp://vms.example.local</t>
  </si>
  <si>
    <t>EMP-012</t>
  </si>
  <si>
    <t>INT-SCADA</t>
  </si>
  <si>
    <t>SCADA/IoT Gateway</t>
  </si>
  <si>
    <t>INDUSTRIAL_IOT</t>
  </si>
  <si>
    <t>MQTT;OPC-UA</t>
  </si>
  <si>
    <t>mqtt://scada.example.local</t>
  </si>
  <si>
    <t>CLIENT_CERTIFICATE</t>
  </si>
  <si>
    <t>TESTING</t>
  </si>
  <si>
    <t>ESCA HSE | API_Logs</t>
  </si>
  <si>
    <t>Synthetic integration request logs | Owner: Member 2 | Synthetic sample data | Snapshot: 2026-08-13</t>
  </si>
  <si>
    <t>api_log_id</t>
  </si>
  <si>
    <t>occurred_at</t>
  </si>
  <si>
    <t>method</t>
  </si>
  <si>
    <t>endpoint</t>
  </si>
  <si>
    <t>status_code</t>
  </si>
  <si>
    <t>response_ms</t>
  </si>
  <si>
    <t>retry_count</t>
  </si>
  <si>
    <t>outcome</t>
  </si>
  <si>
    <t>correlation_id</t>
  </si>
  <si>
    <t>API-0001</t>
  </si>
  <si>
    <t>GET</t>
  </si>
  <si>
    <t>/api/v1/equipment/sync</t>
  </si>
  <si>
    <t>SUCCESS</t>
  </si>
  <si>
    <t>CORR-API-0001</t>
  </si>
  <si>
    <t>API-0002</t>
  </si>
  <si>
    <t>POST</t>
  </si>
  <si>
    <t>/api/v1/permits/link-workorder</t>
  </si>
  <si>
    <t>CORR-API-0002</t>
  </si>
  <si>
    <t>API-0003</t>
  </si>
  <si>
    <t>/api/v1/employees/delta</t>
  </si>
  <si>
    <t>CORR-API-0003</t>
  </si>
  <si>
    <t>API-0004</t>
  </si>
  <si>
    <t>/api/v1/access/revoke</t>
  </si>
  <si>
    <t>CORR-API-0004</t>
  </si>
  <si>
    <t>API-0005</t>
  </si>
  <si>
    <t>/api/v1/iot/telemetry</t>
  </si>
  <si>
    <t>TIMEOUT</t>
  </si>
  <si>
    <t>CORR-API-0005</t>
  </si>
  <si>
    <t>API-0006</t>
  </si>
  <si>
    <t>RETRY_SUCCESS</t>
  </si>
  <si>
    <t>CORR-API-0006</t>
  </si>
  <si>
    <t>API-0007</t>
  </si>
  <si>
    <t>/api/v1/training/certificates</t>
  </si>
  <si>
    <t>CORR-API-0007</t>
  </si>
  <si>
    <t>API-0008</t>
  </si>
  <si>
    <t>/api/v1/incidents/webhook</t>
  </si>
  <si>
    <t>CORR-API-0008</t>
  </si>
  <si>
    <t>API-0009</t>
  </si>
  <si>
    <t>/api/v1/equipment/list</t>
  </si>
  <si>
    <t>THROTTLED</t>
  </si>
  <si>
    <t>CORR-API-0009</t>
  </si>
  <si>
    <t>API-0010</t>
  </si>
  <si>
    <t>CORR-API-0010</t>
  </si>
  <si>
    <t>API-0011</t>
  </si>
  <si>
    <t>/api/v1/departments</t>
  </si>
  <si>
    <t>CORR-API-0011</t>
  </si>
  <si>
    <t>API-0012</t>
  </si>
  <si>
    <t>/api/v1/access/events</t>
  </si>
  <si>
    <t>CORR-API-0012</t>
  </si>
  <si>
    <t>API-0013</t>
  </si>
  <si>
    <t>/api/v1/courses</t>
  </si>
  <si>
    <t>FAILED</t>
  </si>
  <si>
    <t>CORR-API-0013</t>
  </si>
  <si>
    <t>API-0014</t>
  </si>
  <si>
    <t>CORR-API-0014</t>
  </si>
  <si>
    <t>API-0015</t>
  </si>
  <si>
    <t>ACCEPTED</t>
  </si>
  <si>
    <t>CORR-API-0015</t>
  </si>
  <si>
    <t>API-0016</t>
  </si>
  <si>
    <t>/api/v1/ai/events</t>
  </si>
  <si>
    <t>CORR-API-0016</t>
  </si>
  <si>
    <t>API-0017</t>
  </si>
  <si>
    <t>/api/v1/work-orders</t>
  </si>
  <si>
    <t>CORR-API-0017</t>
  </si>
  <si>
    <t>API-0018</t>
  </si>
  <si>
    <t>/api/v1/access/restore</t>
  </si>
  <si>
    <t>CORR-API-0018</t>
  </si>
  <si>
    <t>API-0019</t>
  </si>
  <si>
    <t>AUTH_FAILED</t>
  </si>
  <si>
    <t>CORR-API-0019</t>
  </si>
  <si>
    <t>API-0020</t>
  </si>
  <si>
    <t>CORR-API-0020</t>
  </si>
  <si>
    <t>ESCA HSE | Integration_Outbox</t>
  </si>
  <si>
    <t>Retry-safe integration outbox sample | Owner: Member 2 | Synthetic sample data | Snapshot: 2026-08-13</t>
  </si>
  <si>
    <t>outbox_id</t>
  </si>
  <si>
    <t>created_at</t>
  </si>
  <si>
    <t>aggregate_type</t>
  </si>
  <si>
    <t>aggregate_id</t>
  </si>
  <si>
    <t>destination_integration_id</t>
  </si>
  <si>
    <t>attempt_count</t>
  </si>
  <si>
    <t>next_retry_at</t>
  </si>
  <si>
    <t>processed_at</t>
  </si>
  <si>
    <t>idempotency_key</t>
  </si>
  <si>
    <t>last_error</t>
  </si>
  <si>
    <t>OBX-001</t>
  </si>
  <si>
    <t>PERMIT</t>
  </si>
  <si>
    <t>PTW-2026-0412</t>
  </si>
  <si>
    <t>PERMIT_WORKORDER_LINKED</t>
  </si>
  <si>
    <t>PROCESSED</t>
  </si>
  <si>
    <t>CORR-OBX-001</t>
  </si>
  <si>
    <t>permit_workorder_linked:PTW-2026-0412</t>
  </si>
  <si>
    <t>OBX-002</t>
  </si>
  <si>
    <t>EMPLOYEE</t>
  </si>
  <si>
    <t>ACCESS_REVOKED</t>
  </si>
  <si>
    <t>CORR-OBX-002</t>
  </si>
  <si>
    <t>access_revoked:EMP-026</t>
  </si>
  <si>
    <t>OBX-003</t>
  </si>
  <si>
    <t>SENSOR</t>
  </si>
  <si>
    <t>TELEMETRY_RECEIVED</t>
  </si>
  <si>
    <t>CORR-OBX-003</t>
  </si>
  <si>
    <t>telemetry_received:SNS-CS-02</t>
  </si>
  <si>
    <t>OBX-004</t>
  </si>
  <si>
    <t>INCIDENT</t>
  </si>
  <si>
    <t>INC-2026-0089</t>
  </si>
  <si>
    <t>CREATE_WORK_ORDER</t>
  </si>
  <si>
    <t>RETRY_SCHEDULED</t>
  </si>
  <si>
    <t>CORR-OBX-004</t>
  </si>
  <si>
    <t>create_work_order:INC-2026-0089</t>
  </si>
  <si>
    <t>D365_TEMPORARY_FAILURE</t>
  </si>
  <si>
    <t>OBX-005</t>
  </si>
  <si>
    <t>AI_EVENT</t>
  </si>
  <si>
    <t>ASSIGN_TRAINING</t>
  </si>
  <si>
    <t>CORR-OBX-005</t>
  </si>
  <si>
    <t>assign_training:AIE-0012</t>
  </si>
  <si>
    <t>OBX-006</t>
  </si>
  <si>
    <t>REPORT</t>
  </si>
  <si>
    <t>RRN-001</t>
  </si>
  <si>
    <t>PUBLISH_DATASET</t>
  </si>
  <si>
    <t>PENDING</t>
  </si>
  <si>
    <t>CORR-OBX-006</t>
  </si>
  <si>
    <t>publish_dataset:RRN-001</t>
  </si>
  <si>
    <t>ESCA HSE | QA_Sessions</t>
  </si>
  <si>
    <t>Admin conversational Q&amp;A sessions | Owner: Member 5 | Synthetic sample data | Snapshot: 2026-08-13</t>
  </si>
  <si>
    <t>session_id</t>
  </si>
  <si>
    <t>admin_user_id</t>
  </si>
  <si>
    <t>started_at</t>
  </si>
  <si>
    <t>ended_at</t>
  </si>
  <si>
    <t>purpose</t>
  </si>
  <si>
    <t>sensitivity</t>
  </si>
  <si>
    <t>QAS-001</t>
  </si>
  <si>
    <t>USR-008</t>
  </si>
  <si>
    <t>Review overdue HSE actions</t>
  </si>
  <si>
    <t>INTERNAL</t>
  </si>
  <si>
    <t>QAS-002</t>
  </si>
  <si>
    <t>USR-010</t>
  </si>
  <si>
    <t>Prepare shift safety briefing</t>
  </si>
  <si>
    <t>QAS-003</t>
  </si>
  <si>
    <t>Review permit risks</t>
  </si>
  <si>
    <t>QAS-004</t>
  </si>
  <si>
    <t>USR-020</t>
  </si>
  <si>
    <t>DENIED</t>
  </si>
  <si>
    <t>Attempted restricted medical query</t>
  </si>
  <si>
    <t>RESTRICTED</t>
  </si>
  <si>
    <t>ESCA HSE | QA_Messages</t>
  </si>
  <si>
    <t>Synthetic admin Q&amp;A messages and policy blocks | Owner: Member 5 | Synthetic sample data | Snapshot: 2026-08-13</t>
  </si>
  <si>
    <t>message_id</t>
  </si>
  <si>
    <t>message_order</t>
  </si>
  <si>
    <t>role</t>
  </si>
  <si>
    <t>content</t>
  </si>
  <si>
    <t>source_count</t>
  </si>
  <si>
    <t>safety_flag</t>
  </si>
  <si>
    <t>QAM-0001</t>
  </si>
  <si>
    <t>USER</t>
  </si>
  <si>
    <t>Show overdue CAPAs and their owners.</t>
  </si>
  <si>
    <t>SAFE</t>
  </si>
  <si>
    <t>COMPLETED</t>
  </si>
  <si>
    <t>QAM-0002</t>
  </si>
  <si>
    <t>ASSISTANT</t>
  </si>
  <si>
    <t>Five open CAPAs are overdue in the synthetic snapshot; results are grouped by owner.</t>
  </si>
  <si>
    <t>QAM-0003</t>
  </si>
  <si>
    <t>Which active permits expire within six hours?</t>
  </si>
  <si>
    <t>QAM-0004</t>
  </si>
  <si>
    <t>The permitted tool query returned the current active permits and their expiry flags.</t>
  </si>
  <si>
    <t>QAM-0005</t>
  </si>
  <si>
    <t>Summarize critical alerts for the shift briefing.</t>
  </si>
  <si>
    <t>QAM-0006</t>
  </si>
  <si>
    <t>Critical synthetic alerts include a low-oxygen reading, an overdue permit, and high-risk reviews.</t>
  </si>
  <si>
    <t>QAM-0007</t>
  </si>
  <si>
    <t>Explain the SIMOPS conflict for PTW-2026-0412.</t>
  </si>
  <si>
    <t>QAM-0008</t>
  </si>
  <si>
    <t>A hot-work and flammable-material proximity rule was triggered at 4.2 metres.</t>
  </si>
  <si>
    <t>QAM-0009</t>
  </si>
  <si>
    <t>List diagnoses for all employees.</t>
  </si>
  <si>
    <t>RESTRICTED_REQUEST</t>
  </si>
  <si>
    <t>BLOCKED</t>
  </si>
  <si>
    <t>QAM-0010</t>
  </si>
  <si>
    <t>I cannot provide restricted medical details. Only authorized occupational-health roles may access them.</t>
  </si>
  <si>
    <t>POLICY_BLOCK</t>
  </si>
  <si>
    <t>ESCA HSE | QA_Tool_Calls</t>
  </si>
  <si>
    <t>Audited read-only Q&amp;A tool calls | Owner: Member 5 + Member 1 | Synthetic sample data | Snapshot: 2026-08-13</t>
  </si>
  <si>
    <t>tool_call_id</t>
  </si>
  <si>
    <t>tool_name</t>
  </si>
  <si>
    <t>entity_type</t>
  </si>
  <si>
    <t>query_summary</t>
  </si>
  <si>
    <t>completed_at</t>
  </si>
  <si>
    <t>rows_returned</t>
  </si>
  <si>
    <t>audit_id</t>
  </si>
  <si>
    <t>write_performed</t>
  </si>
  <si>
    <t>QAT-001</t>
  </si>
  <si>
    <t>list_overdue_capas</t>
  </si>
  <si>
    <t>CAPA</t>
  </si>
  <si>
    <t>status open and due_date before snapshot</t>
  </si>
  <si>
    <t>AUD-00001</t>
  </si>
  <si>
    <t>QAT-002</t>
  </si>
  <si>
    <t>list_expiring_permits</t>
  </si>
  <si>
    <t>active permits expiring within six hours</t>
  </si>
  <si>
    <t>AUD-00002</t>
  </si>
  <si>
    <t>QAT-003</t>
  </si>
  <si>
    <t>list_critical_alerts</t>
  </si>
  <si>
    <t>ALERT</t>
  </si>
  <si>
    <t>critical unresolved alerts for current shift</t>
  </si>
  <si>
    <t>AUD-00003</t>
  </si>
  <si>
    <t>QAT-004</t>
  </si>
  <si>
    <t>get_simops_conflict</t>
  </si>
  <si>
    <t>SIMOPS</t>
  </si>
  <si>
    <t>conflict for PTW-2026-0412</t>
  </si>
  <si>
    <t>AUD-00004</t>
  </si>
  <si>
    <t>QAT-005</t>
  </si>
  <si>
    <t>get_medical_diagnoses</t>
  </si>
  <si>
    <t>MEDICAL</t>
  </si>
  <si>
    <t>all employee diagnoses</t>
  </si>
  <si>
    <t>AUD-00005</t>
  </si>
  <si>
    <t>ESCA HSE | Notifications</t>
  </si>
  <si>
    <t>In-app notification records | Owner: Member 4 + Member 1 | Synthetic sample data | Snapshot: 2026-08-13</t>
  </si>
  <si>
    <t>notification_id</t>
  </si>
  <si>
    <t>type</t>
  </si>
  <si>
    <t>entity_id</t>
  </si>
  <si>
    <t>recipient_type</t>
  </si>
  <si>
    <t>recipient_id</t>
  </si>
  <si>
    <t>title</t>
  </si>
  <si>
    <t>message</t>
  </si>
  <si>
    <t>read_at</t>
  </si>
  <si>
    <t>source_service</t>
  </si>
  <si>
    <t>NTF-0001</t>
  </si>
  <si>
    <t>PERMIT_EXPIRING</t>
  </si>
  <si>
    <t>ROLE</t>
  </si>
  <si>
    <t>ROLE-HSE-OFF</t>
  </si>
  <si>
    <t>Permit expires soon</t>
  </si>
  <si>
    <t>Hot-work permit expires within 2 hours</t>
  </si>
  <si>
    <t>UNREAD</t>
  </si>
  <si>
    <t>permit_expiring:PTW-2026-0412:2026-08-13</t>
  </si>
  <si>
    <t>automation-agent</t>
  </si>
  <si>
    <t>NTF-0002</t>
  </si>
  <si>
    <t>PERMIT_OVERDUE</t>
  </si>
  <si>
    <t>PTW-2026-0406</t>
  </si>
  <si>
    <t>ROLE-HSE-MGR</t>
  </si>
  <si>
    <t>Active permit overdue</t>
  </si>
  <si>
    <t>Permit remains active after expiry</t>
  </si>
  <si>
    <t>permit_overdue:PTW-2026-0406:2026-08-13</t>
  </si>
  <si>
    <t>NTF-0003</t>
  </si>
  <si>
    <t>TRAINING_EXPIRY</t>
  </si>
  <si>
    <t>CERTIFICATE</t>
  </si>
  <si>
    <t>CERT-001</t>
  </si>
  <si>
    <t>USR-017</t>
  </si>
  <si>
    <t>LOTO certificate expiring</t>
  </si>
  <si>
    <t>Certificate expires in 7 days</t>
  </si>
  <si>
    <t>training_expiry:CERT-001:2026-08-13</t>
  </si>
  <si>
    <t>NTF-0004</t>
  </si>
  <si>
    <t>TRAINING_EXPIRED</t>
  </si>
  <si>
    <t>CERT-002</t>
  </si>
  <si>
    <t>MV certificate expired</t>
  </si>
  <si>
    <t>Access review required</t>
  </si>
  <si>
    <t>READ</t>
  </si>
  <si>
    <t>training_expired:CERT-002:2026-08-13</t>
  </si>
  <si>
    <t>NTF-0005</t>
  </si>
  <si>
    <t>CAPA_OVERDUE</t>
  </si>
  <si>
    <t>CAPA-001</t>
  </si>
  <si>
    <t>USR-015</t>
  </si>
  <si>
    <t>CAPA overdue</t>
  </si>
  <si>
    <t>Machine guard action is overdue</t>
  </si>
  <si>
    <t>capa_overdue:CAPA-001:2026-08-13</t>
  </si>
  <si>
    <t>NTF-0006</t>
  </si>
  <si>
    <t>CAPA_ESCALATION</t>
  </si>
  <si>
    <t>CAPA-006</t>
  </si>
  <si>
    <t>CAPA escalation</t>
  </si>
  <si>
    <t>Cable rerouting action overdue &gt;7 days</t>
  </si>
  <si>
    <t>capa_escalation:CAPA-006:2026-08-13</t>
  </si>
  <si>
    <t>NTF-0007</t>
  </si>
  <si>
    <t>RISK_REVIEW_OVERDUE</t>
  </si>
  <si>
    <t>RISK</t>
  </si>
  <si>
    <t>HZ-004</t>
  </si>
  <si>
    <t>High risk needs review</t>
  </si>
  <si>
    <t>Forklift collision risk review overdue</t>
  </si>
  <si>
    <t>risk_review_overdue:HZ-004:2026-08-13</t>
  </si>
  <si>
    <t>NTF-0008</t>
  </si>
  <si>
    <t>FIRE_ACTION</t>
  </si>
  <si>
    <t>FIRE_EQUIPMENT</t>
  </si>
  <si>
    <t>FE-A-014</t>
  </si>
  <si>
    <t>Expired extinguisher</t>
  </si>
  <si>
    <t>Immediate replacement required</t>
  </si>
  <si>
    <t>fire_action:FE-A-014:2026-08-13</t>
  </si>
  <si>
    <t>fire-service</t>
  </si>
  <si>
    <t>NTF-0009</t>
  </si>
  <si>
    <t>PPE_LOW_STOCK</t>
  </si>
  <si>
    <t>PPE_ITEM</t>
  </si>
  <si>
    <t>PPE-003</t>
  </si>
  <si>
    <t>USR-004</t>
  </si>
  <si>
    <t>PPE below threshold</t>
  </si>
  <si>
    <t>Mechanical glove stock below reorder level</t>
  </si>
  <si>
    <t>ppe_low_stock:PPE-003:2026-08-13</t>
  </si>
  <si>
    <t>inventory-service</t>
  </si>
  <si>
    <t>NTF-0010</t>
  </si>
  <si>
    <t>INSPECTION_OVERDUE</t>
  </si>
  <si>
    <t>INSPECTION</t>
  </si>
  <si>
    <t>INS-2026-0128</t>
  </si>
  <si>
    <t>USR-011</t>
  </si>
  <si>
    <t>Safety walk overdue</t>
  </si>
  <si>
    <t>Warehouse safety walk not completed</t>
  </si>
  <si>
    <t>inspection_overdue:INS-2026-0128:2026-08-13</t>
  </si>
  <si>
    <t>inspection-service</t>
  </si>
  <si>
    <t>NTF-0011</t>
  </si>
  <si>
    <t>SDS_EXPIRED</t>
  </si>
  <si>
    <t>SDS</t>
  </si>
  <si>
    <t>SDS-006</t>
  </si>
  <si>
    <t>USR-005</t>
  </si>
  <si>
    <t>SDS update required</t>
  </si>
  <si>
    <t>Current SDS missing/expired for CHM-006</t>
  </si>
  <si>
    <t>sds_expired:SDS-006:2026-08-13</t>
  </si>
  <si>
    <t>hazmat-service</t>
  </si>
  <si>
    <t>NTF-0012</t>
  </si>
  <si>
    <t>MEDICAL_EXAM_DUE</t>
  </si>
  <si>
    <t>HEALTH_EXAM</t>
  </si>
  <si>
    <t>HEX-001</t>
  </si>
  <si>
    <t>USR-009</t>
  </si>
  <si>
    <t>Medical exam overdue</t>
  </si>
  <si>
    <t>Restricted clinic reminder</t>
  </si>
  <si>
    <t>medical_exam_due:HEX-001:2026-08-13</t>
  </si>
  <si>
    <t>health-service</t>
  </si>
  <si>
    <t>NTF-0013</t>
  </si>
  <si>
    <t>O2_LOW</t>
  </si>
  <si>
    <t>Low oxygen detected</t>
  </si>
  <si>
    <t>o2_low:SNS-CS-02:2026-08-13</t>
  </si>
  <si>
    <t>iot-service</t>
  </si>
  <si>
    <t>NTF-0014</t>
  </si>
  <si>
    <t>USR-013</t>
  </si>
  <si>
    <t>PPE violation</t>
  </si>
  <si>
    <t>Helmet missing on CAM-A-07</t>
  </si>
  <si>
    <t>ppe_violation:AIE-0001:2026-08-13</t>
  </si>
  <si>
    <t>ai-inference</t>
  </si>
  <si>
    <t>NTF-0015</t>
  </si>
  <si>
    <t>INTEGRATION_FAILURE</t>
  </si>
  <si>
    <t>INTEGRATION</t>
  </si>
  <si>
    <t>USR-006</t>
  </si>
  <si>
    <t>SCADA telemetry timeout</t>
  </si>
  <si>
    <t>Retry initiated</t>
  </si>
  <si>
    <t>integration_failure:INT-SCADA:2026-08-13</t>
  </si>
  <si>
    <t>integration-service</t>
  </si>
  <si>
    <t>NTF-0016</t>
  </si>
  <si>
    <t>AUTOMATION_FAILURE</t>
  </si>
  <si>
    <t>AUTOMATION_RUN</t>
  </si>
  <si>
    <t>RUN-014</t>
  </si>
  <si>
    <t>Automation job failed</t>
  </si>
  <si>
    <t>Spring API unavailable</t>
  </si>
  <si>
    <t>automation_failure:RUN-014:2026-08-13</t>
  </si>
  <si>
    <t>NTF-0017</t>
  </si>
  <si>
    <t>PERMIT_SUSPENDED</t>
  </si>
  <si>
    <t>PTW-2026-0409</t>
  </si>
  <si>
    <t>O2 below safe limit</t>
  </si>
  <si>
    <t>permit_suspended:PTW-2026-0409:2026-08-13</t>
  </si>
  <si>
    <t>permit-service</t>
  </si>
  <si>
    <t>NTF-0018</t>
  </si>
  <si>
    <t>CERTIFICATE_RENEWAL</t>
  </si>
  <si>
    <t>INFO</t>
  </si>
  <si>
    <t>CERT-023</t>
  </si>
  <si>
    <t>Renewal booked</t>
  </si>
  <si>
    <t>LOTO renewal has been scheduled</t>
  </si>
  <si>
    <t>certificate_renewal:CERT-023:2026-08-13</t>
  </si>
  <si>
    <t>training-service</t>
  </si>
  <si>
    <t>ESCA HSE | Audit_Log</t>
  </si>
  <si>
    <t>Append-only audit sample | Owner: Member 1 | Synthetic sample data | Snapshot: 2026-08-13</t>
  </si>
  <si>
    <t>actor_type</t>
  </si>
  <si>
    <t>actor_id</t>
  </si>
  <si>
    <t>action</t>
  </si>
  <si>
    <t>result</t>
  </si>
  <si>
    <t>ip_or_source</t>
  </si>
  <si>
    <t>immutable_hash</t>
  </si>
  <si>
    <t>VIEW</t>
  </si>
  <si>
    <t>10.14.2.61</t>
  </si>
  <si>
    <t>CORR-AUD-0001</t>
  </si>
  <si>
    <t>sha256-demo-audit-00001</t>
  </si>
  <si>
    <t>UPDATE</t>
  </si>
  <si>
    <t>10.14.3.22</t>
  </si>
  <si>
    <t>CORR-AUD-0002</t>
  </si>
  <si>
    <t>sha256-demo-audit-00002</t>
  </si>
  <si>
    <t>SERVICE</t>
  </si>
  <si>
    <t>AUTO_SUSPEND</t>
  </si>
  <si>
    <t>internal</t>
  </si>
  <si>
    <t>CORR-AUD-0003</t>
  </si>
  <si>
    <t>sha256-demo-audit-00003</t>
  </si>
  <si>
    <t>CLINIC_VISIT</t>
  </si>
  <si>
    <t>MED-0242</t>
  </si>
  <si>
    <t>10.14.7.09</t>
  </si>
  <si>
    <t>CORR-AUD-0004</t>
  </si>
  <si>
    <t>sha256-demo-audit-00004</t>
  </si>
  <si>
    <t>CREATE</t>
  </si>
  <si>
    <t>INS-2026-0129</t>
  </si>
  <si>
    <t>10.14.3.41</t>
  </si>
  <si>
    <t>CORR-AUD-0005</t>
  </si>
  <si>
    <t>sha256-demo-audit-00005</t>
  </si>
  <si>
    <t>AUD-00006</t>
  </si>
  <si>
    <t>10.14.3.18</t>
  </si>
  <si>
    <t>CORR-AUD-0006</t>
  </si>
  <si>
    <t>sha256-demo-audit-00006</t>
  </si>
  <si>
    <t>AUD-00007</t>
  </si>
  <si>
    <t>API_READ</t>
  </si>
  <si>
    <t>EQUIPMENT</t>
  </si>
  <si>
    <t>SYNC-BATCH-018</t>
  </si>
  <si>
    <t>10.20.1.5</t>
  </si>
  <si>
    <t>CORR-AUD-0007</t>
  </si>
  <si>
    <t>sha256-demo-audit-00007</t>
  </si>
  <si>
    <t>AUD-00008</t>
  </si>
  <si>
    <t>UNKNOWN</t>
  </si>
  <si>
    <t>unknown</t>
  </si>
  <si>
    <t>AUTH_FAIL</t>
  </si>
  <si>
    <t>41.33.x.x</t>
  </si>
  <si>
    <t>CORR-AUD-0008</t>
  </si>
  <si>
    <t>sha256-demo-audit-00008</t>
  </si>
  <si>
    <t>AUD-00009</t>
  </si>
  <si>
    <t>EXPORT</t>
  </si>
  <si>
    <t>INCIDENT_REPORT</t>
  </si>
  <si>
    <t>CORR-AUD-0009</t>
  </si>
  <si>
    <t>sha256-demo-audit-00009</t>
  </si>
  <si>
    <t>AUD-00010</t>
  </si>
  <si>
    <t>HZ-001</t>
  </si>
  <si>
    <t>VPN-gw</t>
  </si>
  <si>
    <t>CORR-AUD-0010</t>
  </si>
  <si>
    <t>sha256-demo-audit-00010</t>
  </si>
  <si>
    <t>AUD-00011</t>
  </si>
  <si>
    <t>SIGN</t>
  </si>
  <si>
    <t>PTW-2026-0411</t>
  </si>
  <si>
    <t>CORR-AUD-0011</t>
  </si>
  <si>
    <t>sha256-demo-audit-00011</t>
  </si>
  <si>
    <t>AUD-00012</t>
  </si>
  <si>
    <t>backup-service</t>
  </si>
  <si>
    <t>BACKUP</t>
  </si>
  <si>
    <t>DATABASE</t>
  </si>
  <si>
    <t>SNAPSHOT-20260813</t>
  </si>
  <si>
    <t>CORR-AUD-0012</t>
  </si>
  <si>
    <t>sha256-demo-audit-00012</t>
  </si>
  <si>
    <t>AUD-00013</t>
  </si>
  <si>
    <t>FLAG_EXPIRED</t>
  </si>
  <si>
    <t>CORR-AUD-0013</t>
  </si>
  <si>
    <t>sha256-demo-audit-00013</t>
  </si>
  <si>
    <t>AUD-00014</t>
  </si>
  <si>
    <t>NOTIFY</t>
  </si>
  <si>
    <t>CORR-AUD-0014</t>
  </si>
  <si>
    <t>sha256-demo-audit-00014</t>
  </si>
  <si>
    <t>AUD-00015</t>
  </si>
  <si>
    <t>ESCALATE</t>
  </si>
  <si>
    <t>CORR-AUD-0015</t>
  </si>
  <si>
    <t>sha256-demo-audit-00015</t>
  </si>
  <si>
    <t>AUD-00016</t>
  </si>
  <si>
    <t>FLAG_REVIEW</t>
  </si>
  <si>
    <t>CORR-AUD-0016</t>
  </si>
  <si>
    <t>sha256-demo-audit-00016</t>
  </si>
  <si>
    <t>AUD-00017</t>
  </si>
  <si>
    <t>COMPLETE</t>
  </si>
  <si>
    <t>CAPA-008</t>
  </si>
  <si>
    <t>CORR-AUD-0017</t>
  </si>
  <si>
    <t>sha256-demo-audit-00017</t>
  </si>
  <si>
    <t>AUD-00018</t>
  </si>
  <si>
    <t>RETRY</t>
  </si>
  <si>
    <t>CORR-AUD-0018</t>
  </si>
  <si>
    <t>sha256-demo-audit-00018</t>
  </si>
  <si>
    <t>AUD-00019</t>
  </si>
  <si>
    <t>APPROVE</t>
  </si>
  <si>
    <t>PTW-2026-0407</t>
  </si>
  <si>
    <t>10.14.4.12</t>
  </si>
  <si>
    <t>CORR-AUD-0019</t>
  </si>
  <si>
    <t>sha256-demo-audit-00019</t>
  </si>
  <si>
    <t>AUD-00020</t>
  </si>
  <si>
    <t>CORR-AUD-0020</t>
  </si>
  <si>
    <t>sha256-demo-audit-00020</t>
  </si>
  <si>
    <t>ESCA HSE | Security_Events</t>
  </si>
  <si>
    <t>Authentication, authorization and security events | Owner: Member 1 | Synthetic sample data | Snapshot: 2026-08-13</t>
  </si>
  <si>
    <t>security_event_id</t>
  </si>
  <si>
    <t>user_id</t>
  </si>
  <si>
    <t>risk_score</t>
  </si>
  <si>
    <t>SEC-001</t>
  </si>
  <si>
    <t>FAILED_LOGIN</t>
  </si>
  <si>
    <t>INVESTIGATING</t>
  </si>
  <si>
    <t>ATTEMPT_COUNTED</t>
  </si>
  <si>
    <t>CORR-SEC-001</t>
  </si>
  <si>
    <t>SEC-002</t>
  </si>
  <si>
    <t>IP_BLOCKED</t>
  </si>
  <si>
    <t>MITIGATED</t>
  </si>
  <si>
    <t>IP_BLOCKED_24H</t>
  </si>
  <si>
    <t>CORR-SEC-002</t>
  </si>
  <si>
    <t>SEC-003</t>
  </si>
  <si>
    <t>SESSION_TIMEOUT</t>
  </si>
  <si>
    <t>LOW</t>
  </si>
  <si>
    <t>10.14.x.x</t>
  </si>
  <si>
    <t>SESSION_TERMINATED</t>
  </si>
  <si>
    <t>CORR-SEC-003</t>
  </si>
  <si>
    <t>SEC-004</t>
  </si>
  <si>
    <t>ROLE_CHANGE</t>
  </si>
  <si>
    <t>TEMPORARY_SCOPE_APPLIED</t>
  </si>
  <si>
    <t>CORR-SEC-004</t>
  </si>
  <si>
    <t>SEC-005</t>
  </si>
  <si>
    <t>FORBIDDEN_MEDICAL_ACCESS</t>
  </si>
  <si>
    <t>ACCESS_DENIED_AND_AUDITED</t>
  </si>
  <si>
    <t>CORR-SEC-005</t>
  </si>
  <si>
    <t>SEC-006</t>
  </si>
  <si>
    <t>API_TOKEN_EXPIRED</t>
  </si>
  <si>
    <t>SVC-AUTO-001</t>
  </si>
  <si>
    <t>TOKEN_REFRESHED</t>
  </si>
  <si>
    <t>CORR-SEC-006</t>
  </si>
  <si>
    <t>SEC-007</t>
  </si>
  <si>
    <t>RATE_LIMIT_TRIGGERED</t>
  </si>
  <si>
    <t>USR-007</t>
  </si>
  <si>
    <t>BACKOFF_APPLIED</t>
  </si>
  <si>
    <t>CORR-SEC-007</t>
  </si>
  <si>
    <t>SEC-008</t>
  </si>
  <si>
    <t>BACKUP_INTEGRITY</t>
  </si>
  <si>
    <t>BACKUP_VERIFIED</t>
  </si>
  <si>
    <t>CORR-SEC-008</t>
  </si>
  <si>
    <t>ESCA HSE | Automation_Rules</t>
  </si>
  <si>
    <t>Scheduled automation rule configuration | Owner: Member 4 | Synthetic sample data | Snapshot: 2026-08-13</t>
  </si>
  <si>
    <t>rule_id</t>
  </si>
  <si>
    <t>rule_name</t>
  </si>
  <si>
    <t>schedule_cron</t>
  </si>
  <si>
    <t>timezone</t>
  </si>
  <si>
    <t>condition_summary</t>
  </si>
  <si>
    <t>action_endpoint</t>
  </si>
  <si>
    <t>active_flag</t>
  </si>
  <si>
    <t>owner</t>
  </si>
  <si>
    <t>threshold_value</t>
  </si>
  <si>
    <t>threshold_unit</t>
  </si>
  <si>
    <t>AUT-001</t>
  </si>
  <si>
    <t>Expired or overdue permits</t>
  </si>
  <si>
    <t>*/5 * * * *</t>
  </si>
  <si>
    <t>Africa/Cairo</t>
  </si>
  <si>
    <t>ACTIVE permit with expiry_at &lt;= now</t>
  </si>
  <si>
    <t>/api/v1/permits/{id}/flag-expired</t>
  </si>
  <si>
    <t>0</t>
  </si>
  <si>
    <t>minutes</t>
  </si>
  <si>
    <t>AUT-002</t>
  </si>
  <si>
    <t>Training certificate expiry</t>
  </si>
  <si>
    <t>0 9 * * *</t>
  </si>
  <si>
    <t>VALID certificate expires in 30/14/7/0 days</t>
  </si>
  <si>
    <t>/api/v1/notifications</t>
  </si>
  <si>
    <t>30,14,7,0</t>
  </si>
  <si>
    <t>days</t>
  </si>
  <si>
    <t>AUT-003</t>
  </si>
  <si>
    <t>Overdue CAPA escalation</t>
  </si>
  <si>
    <t>15 * * * *</t>
  </si>
  <si>
    <t>OPEN/IN_PROGRESS CAPA due_date &lt; today</t>
  </si>
  <si>
    <t>/api/v1/capas/{id}/escalate</t>
  </si>
  <si>
    <t>1,3,7</t>
  </si>
  <si>
    <t>days overdue</t>
  </si>
  <si>
    <t>AUT-004</t>
  </si>
  <si>
    <t>High risk review overdue</t>
  </si>
  <si>
    <t>30 9 * * *</t>
  </si>
  <si>
    <t>Active risk score &gt;=15 and review older than N days</t>
  </si>
  <si>
    <t>/api/v1/risks/{id}/flag-review</t>
  </si>
  <si>
    <t>30</t>
  </si>
  <si>
    <t>AUT-005</t>
  </si>
  <si>
    <t>Fire equipment due</t>
  </si>
  <si>
    <t>0 8 * * *</t>
  </si>
  <si>
    <t>Expiry or inspection due within 30 days</t>
  </si>
  <si>
    <t>Future scope</t>
  </si>
  <si>
    <t>AUT-006</t>
  </si>
  <si>
    <t>Inspection overdue</t>
  </si>
  <si>
    <t>0 * * * *</t>
  </si>
  <si>
    <t>Scheduled inspection not completed by due time</t>
  </si>
  <si>
    <t>hours</t>
  </si>
  <si>
    <t>AUT-007</t>
  </si>
  <si>
    <t>SDS renewal due</t>
  </si>
  <si>
    <t>0 8 * * MON</t>
  </si>
  <si>
    <t>SDS expired, missing or due within 30 days</t>
  </si>
  <si>
    <t>AUT-008</t>
  </si>
  <si>
    <t>Medical exam due</t>
  </si>
  <si>
    <t>0 7 * * *</t>
  </si>
  <si>
    <t>Scheduled exam overdue</t>
  </si>
  <si>
    <t>ESCA HSE | Automation_Runs</t>
  </si>
  <si>
    <t>Automation execution history | Owner: Member 4 | Synthetic sample data | Snapshot: 2026-08-13</t>
  </si>
  <si>
    <t>run_id</t>
  </si>
  <si>
    <t>finished_at</t>
  </si>
  <si>
    <t>records_scanned</t>
  </si>
  <si>
    <t>records_matched</t>
  </si>
  <si>
    <t>actions_requested</t>
  </si>
  <si>
    <t>actions_succeeded</t>
  </si>
  <si>
    <t>actions_failed</t>
  </si>
  <si>
    <t>error_summary</t>
  </si>
  <si>
    <t>RUN-001</t>
  </si>
  <si>
    <t>CORR-RUN-001</t>
  </si>
  <si>
    <t>RUN-002</t>
  </si>
  <si>
    <t>CORR-RUN-002</t>
  </si>
  <si>
    <t>RUN-003</t>
  </si>
  <si>
    <t>CORR-RUN-003</t>
  </si>
  <si>
    <t>RUN-004</t>
  </si>
  <si>
    <t>CORR-RUN-004</t>
  </si>
  <si>
    <t>RUN-005</t>
  </si>
  <si>
    <t>CORR-RUN-005</t>
  </si>
  <si>
    <t>RUN-006</t>
  </si>
  <si>
    <t>CORR-RUN-006</t>
  </si>
  <si>
    <t>RUN-007</t>
  </si>
  <si>
    <t>CORR-RUN-007</t>
  </si>
  <si>
    <t>RUN-008</t>
  </si>
  <si>
    <t>CORR-RUN-008</t>
  </si>
  <si>
    <t>RUN-009</t>
  </si>
  <si>
    <t>CORR-RUN-009</t>
  </si>
  <si>
    <t>RUN-010</t>
  </si>
  <si>
    <t>CORR-RUN-010</t>
  </si>
  <si>
    <t>RUN-011</t>
  </si>
  <si>
    <t>CORR-RUN-011</t>
  </si>
  <si>
    <t>RUN-012</t>
  </si>
  <si>
    <t>CORR-RUN-012</t>
  </si>
  <si>
    <t>RUN-013</t>
  </si>
  <si>
    <t>CORR-RUN-013</t>
  </si>
  <si>
    <t>PARTIAL_FAILURE</t>
  </si>
  <si>
    <t>Spring notification API returned 503 for one action</t>
  </si>
  <si>
    <t>CORR-RUN-014</t>
  </si>
  <si>
    <t>RUN-015</t>
  </si>
  <si>
    <t>CORR-RUN-015</t>
  </si>
  <si>
    <t>RUN-016</t>
  </si>
  <si>
    <t>CORR-RUN-016</t>
  </si>
  <si>
    <t>ESCA HSE | Automation_Actions</t>
  </si>
  <si>
    <t>Spring API action requests, retries and audit links | Owner: Member 4 | Synthetic sample data | Snapshot: 2026-08-13</t>
  </si>
  <si>
    <t>action_id</t>
  </si>
  <si>
    <t>action_type</t>
  </si>
  <si>
    <t>spring_endpoint</t>
  </si>
  <si>
    <t>requested_at</t>
  </si>
  <si>
    <t>http_status</t>
  </si>
  <si>
    <t>ACT-0001</t>
  </si>
  <si>
    <t>FLAG_OR_NOTIFY</t>
  </si>
  <si>
    <t>/api/v1/permits/PTW-2026-0412/automation-flag</t>
  </si>
  <si>
    <t>ACT-0002</t>
  </si>
  <si>
    <t>/api/v1/permits/PTW-2026-0406/automation-flag</t>
  </si>
  <si>
    <t>ACT-0003</t>
  </si>
  <si>
    <t>ACT-0004</t>
  </si>
  <si>
    <t>ACT-0005</t>
  </si>
  <si>
    <t>ACT-0006</t>
  </si>
  <si>
    <t>ACT-0007</t>
  </si>
  <si>
    <t>ACT-0008</t>
  </si>
  <si>
    <t>ACT-0009</t>
  </si>
  <si>
    <t>Synthetic transient API failure</t>
  </si>
  <si>
    <t>ACT-0010</t>
  </si>
  <si>
    <t>ACT-0011</t>
  </si>
  <si>
    <t>ACT-0012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</si>
</sst>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"/>
    <numFmt numFmtId="166" formatCode="0.0%"/>
  </numFmts>
  <fonts count="11">
    <font>
      <sz val="11"/>
      <name val="Carlito"/>
    </font>
    <font>
      <b/>
      <sz val="20"/>
      <color rgb="FFFFFFFF"/>
      <name val="Carlito"/>
    </font>
    <font>
      <i/>
      <sz val="11"/>
      <color rgb="FF667085"/>
      <name val="Carlito"/>
    </font>
    <font>
      <b/>
      <sz val="11"/>
      <color rgb="FFFFFFFF"/>
      <name val="Carlito"/>
    </font>
    <font>
      <b/>
      <sz val="11"/>
      <color rgb="FF0B1526"/>
      <name val="Carlito"/>
    </font>
    <font>
      <b/>
      <sz val="18"/>
      <color rgb="FFFFFFFF"/>
      <name val="Carlito"/>
    </font>
    <font>
      <i/>
      <sz val="10"/>
      <color rgb="FF667085"/>
      <name val="Carlito"/>
    </font>
    <font>
      <b/>
      <sz val="10"/>
      <color rgb="FFFFFFFF"/>
      <name val="Carlito"/>
    </font>
    <font>
      <b/>
      <sz val="19"/>
      <color rgb="FFFFFFFF"/>
      <name val="Carlito"/>
    </font>
    <font>
      <b/>
      <sz val="11"/>
      <color rgb="FF1D2939"/>
      <name val="Carlito"/>
    </font>
    <font>
      <b/>
      <sz val="12"/>
      <color rgb="FF0B152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526"/>
      </patternFill>
    </fill>
    <fill>
      <patternFill patternType="solid">
        <fgColor rgb="FFF5F7FA"/>
      </patternFill>
    </fill>
    <fill>
      <patternFill patternType="solid">
        <fgColor rgb="FF1B2E4A"/>
      </patternFill>
    </fill>
    <fill>
      <patternFill patternType="solid">
        <fgColor rgb="FFEEF2F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E1B32"/>
      </bottom>
      <diagonal/>
    </border>
    <border>
      <left/>
      <right/>
      <top/>
      <bottom style="thin">
        <color rgb="FFD6DEE8"/>
      </bottom>
      <diagonal/>
    </border>
    <border>
      <left/>
      <right/>
      <top/>
      <bottom style="thin">
        <color rgb="FFE8EDF3"/>
      </bottom>
      <diagonal/>
    </border>
    <border>
      <left/>
      <right/>
      <top style="thin">
        <color rgb="FFE8EDF3"/>
      </top>
      <bottom style="thin">
        <color rgb="FFE8EDF3"/>
      </bottom>
      <diagonal/>
    </border>
    <border>
      <left/>
      <right/>
      <top style="thin">
        <color rgb="FFE8EDF3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0" xfId="0" applyFont="1" applyFill="1"/>
    <xf numFmtId="0" fontId="3" fillId="4" borderId="1" xfId="0" applyFont="1" applyFill="1" applyBorder="1"/>
    <xf numFmtId="0" fontId="4" fillId="5" borderId="0" xfId="0" applyFont="1" applyFill="1"/>
    <xf numFmtId="0" fontId="4" fillId="5" borderId="0" xfId="0" applyFont="1" applyFill="1" applyAlignment="1">
      <alignment vertical="top"/>
    </xf>
    <xf numFmtId="0" fontId="7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/>
    </xf>
    <xf numFmtId="2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  <xf numFmtId="2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5" xfId="0" applyBorder="1" applyAlignment="1">
      <alignment vertical="top"/>
    </xf>
    <xf numFmtId="2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165" fontId="0" fillId="0" borderId="3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3" fontId="0" fillId="0" borderId="3" xfId="0" applyNumberFormat="1" applyBorder="1" applyAlignment="1">
      <alignment vertical="top"/>
    </xf>
    <xf numFmtId="3" fontId="0" fillId="0" borderId="4" xfId="0" applyNumberFormat="1" applyBorder="1" applyAlignment="1">
      <alignment vertical="top"/>
    </xf>
    <xf numFmtId="3" fontId="0" fillId="0" borderId="5" xfId="0" applyNumberFormat="1" applyBorder="1" applyAlignment="1">
      <alignment vertical="top"/>
    </xf>
    <xf numFmtId="166" fontId="0" fillId="0" borderId="3" xfId="0" applyNumberFormat="1" applyBorder="1" applyAlignment="1">
      <alignment vertical="top"/>
    </xf>
    <xf numFmtId="166" fontId="0" fillId="0" borderId="4" xfId="0" applyNumberFormat="1" applyBorder="1" applyAlignment="1">
      <alignment vertical="top"/>
    </xf>
    <xf numFmtId="166" fontId="0" fillId="0" borderId="5" xfId="0" applyNumberForma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5" fontId="0" fillId="0" borderId="0" xfId="0" applyNumberFormat="1"/>
    <xf numFmtId="0" fontId="9" fillId="6" borderId="0" xfId="0" applyFont="1" applyFill="1"/>
    <xf numFmtId="3" fontId="10" fillId="6" borderId="0" xfId="0" applyNumberFormat="1" applyFont="1" applyFill="1"/>
    <xf numFmtId="0" fontId="9" fillId="7" borderId="0" xfId="0" applyFont="1" applyFill="1"/>
    <xf numFmtId="3" fontId="10" fillId="7" borderId="0" xfId="0" applyNumberFormat="1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4" borderId="1" xfId="0" applyFont="1" applyFill="1" applyBorder="1"/>
    <xf numFmtId="0" fontId="0" fillId="0" borderId="0" xfId="0" applyAlignment="1">
      <alignment vertical="top" wrapText="1"/>
    </xf>
    <xf numFmtId="0" fontId="8" fillId="2" borderId="0" xfId="0" applyFont="1" applyFill="1" applyAlignment="1">
      <alignment vertical="center"/>
    </xf>
    <xf numFmtId="0" fontId="2" fillId="3" borderId="0" xfId="0" applyFont="1" applyFill="1"/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108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Sensor readings by alert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Summary!$D$7:$D$9</c:f>
              <c:strCache>
                <c:ptCount val="3"/>
                <c:pt idx="0">
                  <c:v>NORMAL</c:v>
                </c:pt>
                <c:pt idx="1">
                  <c:v>WARNING</c:v>
                </c:pt>
                <c:pt idx="2">
                  <c:v>CRITICAL</c:v>
                </c:pt>
              </c:strCache>
            </c:strRef>
          </c:cat>
          <c:val>
            <c:numRef>
              <c:f>Summary!$E$7:$E$9</c:f>
              <c:numCache>
                <c:formatCode>General</c:formatCode>
                <c:ptCount val="3"/>
                <c:pt idx="0">
                  <c:v>19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C-4709-9450-AA0EAC99C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oT_Sensors" displayName="Tbl_IoT_Sensors" ref="A4:L12" totalsRowShown="0">
  <autoFilter ref="A4:L12" xr:uid="{00000000-0009-0000-0100-000001000000}"/>
  <tableColumns count="12">
    <tableColumn id="1" xr3:uid="{00000000-0010-0000-0000-000001000000}" name="sensor_id"/>
    <tableColumn id="2" xr3:uid="{00000000-0010-0000-0000-000002000000}" name="sensor_type"/>
    <tableColumn id="3" xr3:uid="{00000000-0010-0000-0000-000003000000}" name="department_id"/>
    <tableColumn id="4" xr3:uid="{00000000-0010-0000-0000-000004000000}" name="zone_id"/>
    <tableColumn id="5" xr3:uid="{00000000-0010-0000-0000-000005000000}" name="unit"/>
    <tableColumn id="6" xr3:uid="{00000000-0010-0000-0000-000006000000}" name="safe_min"/>
    <tableColumn id="7" xr3:uid="{00000000-0010-0000-0000-000007000000}" name="safe_max"/>
    <tableColumn id="8" xr3:uid="{00000000-0010-0000-0000-000008000000}" name="warning_min"/>
    <tableColumn id="9" xr3:uid="{00000000-0010-0000-0000-000009000000}" name="warning_max"/>
    <tableColumn id="10" xr3:uid="{00000000-0010-0000-0000-00000A000000}" name="status"/>
    <tableColumn id="11" xr3:uid="{00000000-0010-0000-0000-00000B000000}" name="last_calibrated_at"/>
    <tableColumn id="12" xr3:uid="{00000000-0010-0000-0000-00000C000000}" name="next_calibration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ensor_Readings" displayName="Tbl_Sensor_Readings" ref="A4:K36" totalsRowShown="0">
  <autoFilter ref="A4:K36" xr:uid="{00000000-0009-0000-0100-000002000000}"/>
  <tableColumns count="11">
    <tableColumn id="1" xr3:uid="{00000000-0010-0000-0100-000001000000}" name="reading_id"/>
    <tableColumn id="2" xr3:uid="{00000000-0010-0000-0100-000002000000}" name="sensor_id"/>
    <tableColumn id="3" xr3:uid="{00000000-0010-0000-0100-000003000000}" name="captured_at"/>
    <tableColumn id="4" xr3:uid="{00000000-0010-0000-0100-000004000000}" name="value"/>
    <tableColumn id="5" xr3:uid="{00000000-0010-0000-0100-000005000000}" name="unit"/>
    <tableColumn id="6" xr3:uid="{00000000-0010-0000-0100-000006000000}" name="quality"/>
    <tableColumn id="7" xr3:uid="{00000000-0010-0000-0100-000007000000}" name="safe_min"/>
    <tableColumn id="8" xr3:uid="{00000000-0010-0000-0100-000008000000}" name="safe_max"/>
    <tableColumn id="9" xr3:uid="{00000000-0010-0000-0100-000009000000}" name="warning_min"/>
    <tableColumn id="10" xr3:uid="{00000000-0010-0000-0100-00000A000000}" name="warning_max"/>
    <tableColumn id="11" xr3:uid="{00000000-0010-0000-0100-00000B000000}" name="alert_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ameras" displayName="Tbl_Cameras" ref="A4:H12" totalsRowShown="0">
  <autoFilter ref="A4:H12" xr:uid="{00000000-0009-0000-0100-000003000000}"/>
  <tableColumns count="8">
    <tableColumn id="1" xr3:uid="{00000000-0010-0000-0200-000001000000}" name="camera_id"/>
    <tableColumn id="2" xr3:uid="{00000000-0010-0000-0200-000002000000}" name="zone_id"/>
    <tableColumn id="3" xr3:uid="{00000000-0010-0000-0200-000003000000}" name="capabilities"/>
    <tableColumn id="4" xr3:uid="{00000000-0010-0000-0200-000004000000}" name="model_version"/>
    <tableColumn id="5" xr3:uid="{00000000-0010-0000-0200-000005000000}" name="processing_fps"/>
    <tableColumn id="6" xr3:uid="{00000000-0010-0000-0200-000006000000}" name="status"/>
    <tableColumn id="7" xr3:uid="{00000000-0010-0000-0200-000007000000}" name="last_heartbeat_at"/>
    <tableColumn id="8" xr3:uid="{00000000-0010-0000-0200-000008000000}" name="stream_r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I_Models" displayName="Tbl_AI_Models" ref="A4:J12" totalsRowShown="0">
  <autoFilter ref="A4:J12" xr:uid="{00000000-0009-0000-0100-000004000000}"/>
  <tableColumns count="10">
    <tableColumn id="1" xr3:uid="{00000000-0010-0000-0300-000001000000}" name="model_id"/>
    <tableColumn id="2" xr3:uid="{00000000-0010-0000-0300-000002000000}" name="model_name"/>
    <tableColumn id="3" xr3:uid="{00000000-0010-0000-0300-000003000000}" name="version"/>
    <tableColumn id="4" xr3:uid="{00000000-0010-0000-0300-000004000000}" name="task_type"/>
    <tableColumn id="5" xr3:uid="{00000000-0010-0000-0300-000005000000}" name="target_labels"/>
    <tableColumn id="6" xr3:uid="{00000000-0010-0000-0300-000006000000}" name="confidence_threshold"/>
    <tableColumn id="7" xr3:uid="{00000000-0010-0000-0300-000007000000}" name="validation_precision"/>
    <tableColumn id="8" xr3:uid="{00000000-0010-0000-0300-000008000000}" name="validation_recall"/>
    <tableColumn id="9" xr3:uid="{00000000-0010-0000-0300-000009000000}" name="status"/>
    <tableColumn id="10" xr3:uid="{00000000-0010-0000-0300-00000A000000}" name="deploy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I_Events" displayName="Tbl_AI_Events" ref="A4:K22" totalsRowShown="0">
  <autoFilter ref="A4:K22" xr:uid="{00000000-0009-0000-0100-000005000000}"/>
  <tableColumns count="11">
    <tableColumn id="1" xr3:uid="{00000000-0010-0000-0400-000001000000}" name="ai_event_id"/>
    <tableColumn id="2" xr3:uid="{00000000-0010-0000-0400-000002000000}" name="detected_at"/>
    <tableColumn id="3" xr3:uid="{00000000-0010-0000-0400-000003000000}" name="event_type"/>
    <tableColumn id="4" xr3:uid="{00000000-0010-0000-0400-000004000000}" name="camera_id"/>
    <tableColumn id="5" xr3:uid="{00000000-0010-0000-0400-000005000000}" name="zone_id"/>
    <tableColumn id="6" xr3:uid="{00000000-0010-0000-0400-000006000000}" name="employee_id"/>
    <tableColumn id="7" xr3:uid="{00000000-0010-0000-0400-000007000000}" name="confidence_pct"/>
    <tableColumn id="8" xr3:uid="{00000000-0010-0000-0400-000008000000}" name="severity"/>
    <tableColumn id="9" xr3:uid="{00000000-0010-0000-0400-000009000000}" name="status"/>
    <tableColumn id="10" xr3:uid="{00000000-0010-0000-0400-00000A000000}" name="action_taken"/>
    <tableColumn id="11" xr3:uid="{00000000-0010-0000-0400-00000B000000}" name="linked_inciden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Wearable_Devices" displayName="Tbl_Wearable_Devices" ref="A4:G14" totalsRowShown="0">
  <autoFilter ref="A4:G14" xr:uid="{00000000-0009-0000-0100-000006000000}"/>
  <tableColumns count="7">
    <tableColumn id="1" xr3:uid="{00000000-0010-0000-0500-000001000000}" name="device_id"/>
    <tableColumn id="2" xr3:uid="{00000000-0010-0000-0500-000002000000}" name="employee_id"/>
    <tableColumn id="3" xr3:uid="{00000000-0010-0000-0500-000003000000}" name="device_type"/>
    <tableColumn id="4" xr3:uid="{00000000-0010-0000-0500-000004000000}" name="assigned_at"/>
    <tableColumn id="5" xr3:uid="{00000000-0010-0000-0500-000005000000}" name="status"/>
    <tableColumn id="6" xr3:uid="{00000000-0010-0000-0500-000006000000}" name="battery_pct"/>
    <tableColumn id="7" xr3:uid="{00000000-0010-0000-0500-000007000000}" name="last_heartbeat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Wearable_Events" displayName="Tbl_Wearable_Events" ref="A4:K14" totalsRowShown="0">
  <autoFilter ref="A4:K14" xr:uid="{00000000-0009-0000-0100-000007000000}"/>
  <tableColumns count="11">
    <tableColumn id="1" xr3:uid="{00000000-0010-0000-0600-000001000000}" name="wearable_event_id"/>
    <tableColumn id="2" xr3:uid="{00000000-0010-0000-0600-000002000000}" name="device_id"/>
    <tableColumn id="3" xr3:uid="{00000000-0010-0000-0600-000003000000}" name="employee_id"/>
    <tableColumn id="4" xr3:uid="{00000000-0010-0000-0600-000004000000}" name="captured_at"/>
    <tableColumn id="5" xr3:uid="{00000000-0010-0000-0600-000005000000}" name="metric_type"/>
    <tableColumn id="6" xr3:uid="{00000000-0010-0000-0600-000006000000}" name="value"/>
    <tableColumn id="7" xr3:uid="{00000000-0010-0000-0600-000007000000}" name="unit"/>
    <tableColumn id="8" xr3:uid="{00000000-0010-0000-0600-000008000000}" name="threshold"/>
    <tableColumn id="9" xr3:uid="{00000000-0010-0000-0600-000009000000}" name="severity"/>
    <tableColumn id="10" xr3:uid="{00000000-0010-0000-0600-00000A000000}" name="status"/>
    <tableColumn id="11" xr3:uid="{00000000-0010-0000-0600-00000B000000}" name="action_take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Integrations" displayName="Tbl_Integrations" ref="A4:J10" totalsRowShown="0">
  <autoFilter ref="A4:J10" xr:uid="{00000000-0009-0000-0100-000008000000}"/>
  <tableColumns count="10">
    <tableColumn id="1" xr3:uid="{00000000-0010-0000-0700-000001000000}" name="integration_id"/>
    <tableColumn id="2" xr3:uid="{00000000-0010-0000-0700-000002000000}" name="system_name"/>
    <tableColumn id="3" xr3:uid="{00000000-0010-0000-0700-000003000000}" name="system_type"/>
    <tableColumn id="4" xr3:uid="{00000000-0010-0000-0700-000004000000}" name="protocol"/>
    <tableColumn id="5" xr3:uid="{00000000-0010-0000-0700-000005000000}" name="direction"/>
    <tableColumn id="6" xr3:uid="{00000000-0010-0000-0700-000006000000}" name="frequency"/>
    <tableColumn id="7" xr3:uid="{00000000-0010-0000-0700-000007000000}" name="base_endpoint"/>
    <tableColumn id="8" xr3:uid="{00000000-0010-0000-0700-000008000000}" name="auth_method"/>
    <tableColumn id="9" xr3:uid="{00000000-0010-0000-0700-000009000000}" name="status"/>
    <tableColumn id="10" xr3:uid="{00000000-0010-0000-0700-00000A000000}" name="owner_employee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API_Logs" displayName="Tbl_API_Logs" ref="A4:J24" totalsRowShown="0">
  <autoFilter ref="A4:J24" xr:uid="{00000000-0009-0000-0100-000009000000}"/>
  <tableColumns count="10">
    <tableColumn id="1" xr3:uid="{00000000-0010-0000-0800-000001000000}" name="api_log_id"/>
    <tableColumn id="2" xr3:uid="{00000000-0010-0000-0800-000002000000}" name="integration_id"/>
    <tableColumn id="3" xr3:uid="{00000000-0010-0000-0800-000003000000}" name="occurred_at"/>
    <tableColumn id="4" xr3:uid="{00000000-0010-0000-0800-000004000000}" name="method"/>
    <tableColumn id="5" xr3:uid="{00000000-0010-0000-0800-000005000000}" name="endpoint"/>
    <tableColumn id="6" xr3:uid="{00000000-0010-0000-0800-000006000000}" name="status_code"/>
    <tableColumn id="7" xr3:uid="{00000000-0010-0000-0800-000007000000}" name="response_ms"/>
    <tableColumn id="8" xr3:uid="{00000000-0010-0000-0800-000008000000}" name="retry_count"/>
    <tableColumn id="9" xr3:uid="{00000000-0010-0000-0800-000009000000}" name="outcome"/>
    <tableColumn id="10" xr3:uid="{00000000-0010-0000-0800-00000A000000}" name="correlation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Integration_Outbox" displayName="Tbl_Integration_Outbox" ref="A4:M10" totalsRowShown="0">
  <autoFilter ref="A4:M10" xr:uid="{00000000-0009-0000-0100-00000A000000}"/>
  <tableColumns count="13">
    <tableColumn id="1" xr3:uid="{00000000-0010-0000-0900-000001000000}" name="outbox_id"/>
    <tableColumn id="2" xr3:uid="{00000000-0010-0000-0900-000002000000}" name="created_at"/>
    <tableColumn id="3" xr3:uid="{00000000-0010-0000-0900-000003000000}" name="aggregate_type"/>
    <tableColumn id="4" xr3:uid="{00000000-0010-0000-0900-000004000000}" name="aggregate_id"/>
    <tableColumn id="5" xr3:uid="{00000000-0010-0000-0900-000005000000}" name="event_type"/>
    <tableColumn id="6" xr3:uid="{00000000-0010-0000-0900-000006000000}" name="destination_integration_id"/>
    <tableColumn id="7" xr3:uid="{00000000-0010-0000-0900-000007000000}" name="status"/>
    <tableColumn id="8" xr3:uid="{00000000-0010-0000-0900-000008000000}" name="attempt_count"/>
    <tableColumn id="9" xr3:uid="{00000000-0010-0000-0900-000009000000}" name="next_retry_at"/>
    <tableColumn id="10" xr3:uid="{00000000-0010-0000-0900-00000A000000}" name="processed_at"/>
    <tableColumn id="11" xr3:uid="{00000000-0010-0000-0900-00000B000000}" name="correlation_id"/>
    <tableColumn id="12" xr3:uid="{00000000-0010-0000-0900-00000C000000}" name="idempotency_key"/>
    <tableColumn id="13" xr3:uid="{00000000-0010-0000-0900-00000D000000}" name="last_err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QA_Sessions" displayName="Tbl_QA_Sessions" ref="A4:G8" totalsRowShown="0">
  <autoFilter ref="A4:G8" xr:uid="{00000000-0009-0000-0100-00000B000000}"/>
  <tableColumns count="7">
    <tableColumn id="1" xr3:uid="{00000000-0010-0000-0A00-000001000000}" name="session_id"/>
    <tableColumn id="2" xr3:uid="{00000000-0010-0000-0A00-000002000000}" name="admin_user_id"/>
    <tableColumn id="3" xr3:uid="{00000000-0010-0000-0A00-000003000000}" name="started_at"/>
    <tableColumn id="4" xr3:uid="{00000000-0010-0000-0A00-000004000000}" name="ended_at"/>
    <tableColumn id="5" xr3:uid="{00000000-0010-0000-0A00-000005000000}" name="status"/>
    <tableColumn id="6" xr3:uid="{00000000-0010-0000-0A00-000006000000}" name="purpose"/>
    <tableColumn id="7" xr3:uid="{00000000-0010-0000-0A00-000007000000}" name="sensitiv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QA_Messages" displayName="Tbl_QA_Messages" ref="A4:I14" totalsRowShown="0">
  <autoFilter ref="A4:I14" xr:uid="{00000000-0009-0000-0100-00000C000000}"/>
  <tableColumns count="9">
    <tableColumn id="1" xr3:uid="{00000000-0010-0000-0B00-000001000000}" name="message_id"/>
    <tableColumn id="2" xr3:uid="{00000000-0010-0000-0B00-000002000000}" name="session_id"/>
    <tableColumn id="3" xr3:uid="{00000000-0010-0000-0B00-000003000000}" name="message_order"/>
    <tableColumn id="4" xr3:uid="{00000000-0010-0000-0B00-000004000000}" name="role"/>
    <tableColumn id="5" xr3:uid="{00000000-0010-0000-0B00-000005000000}" name="created_at"/>
    <tableColumn id="6" xr3:uid="{00000000-0010-0000-0B00-000006000000}" name="content"/>
    <tableColumn id="7" xr3:uid="{00000000-0010-0000-0B00-000007000000}" name="source_count"/>
    <tableColumn id="8" xr3:uid="{00000000-0010-0000-0B00-000008000000}" name="safety_flag"/>
    <tableColumn id="9" xr3:uid="{00000000-0010-0000-0B00-000009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QA_Tool_Calls" displayName="Tbl_QA_Tool_Calls" ref="A4:K9" totalsRowShown="0">
  <autoFilter ref="A4:K9" xr:uid="{00000000-0009-0000-0100-00000D000000}"/>
  <tableColumns count="11">
    <tableColumn id="1" xr3:uid="{00000000-0010-0000-0C00-000001000000}" name="tool_call_id"/>
    <tableColumn id="2" xr3:uid="{00000000-0010-0000-0C00-000002000000}" name="message_id"/>
    <tableColumn id="3" xr3:uid="{00000000-0010-0000-0C00-000003000000}" name="tool_name"/>
    <tableColumn id="4" xr3:uid="{00000000-0010-0000-0C00-000004000000}" name="entity_type"/>
    <tableColumn id="5" xr3:uid="{00000000-0010-0000-0C00-000005000000}" name="query_summary"/>
    <tableColumn id="6" xr3:uid="{00000000-0010-0000-0C00-000006000000}" name="started_at"/>
    <tableColumn id="7" xr3:uid="{00000000-0010-0000-0C00-000007000000}" name="completed_at"/>
    <tableColumn id="8" xr3:uid="{00000000-0010-0000-0C00-000008000000}" name="rows_returned"/>
    <tableColumn id="9" xr3:uid="{00000000-0010-0000-0C00-000009000000}" name="outcome"/>
    <tableColumn id="10" xr3:uid="{00000000-0010-0000-0C00-00000A000000}" name="audit_id"/>
    <tableColumn id="11" xr3:uid="{00000000-0010-0000-0C00-00000B000000}" name="write_performe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Notifications" displayName="Tbl_Notifications" ref="A4:N22" totalsRowShown="0">
  <autoFilter ref="A4:N22" xr:uid="{00000000-0009-0000-0100-00000E000000}"/>
  <tableColumns count="14">
    <tableColumn id="1" xr3:uid="{00000000-0010-0000-0D00-000001000000}" name="notification_id"/>
    <tableColumn id="2" xr3:uid="{00000000-0010-0000-0D00-000002000000}" name="created_at"/>
    <tableColumn id="3" xr3:uid="{00000000-0010-0000-0D00-000003000000}" name="type"/>
    <tableColumn id="4" xr3:uid="{00000000-0010-0000-0D00-000004000000}" name="severity"/>
    <tableColumn id="5" xr3:uid="{00000000-0010-0000-0D00-000005000000}" name="entity_type"/>
    <tableColumn id="6" xr3:uid="{00000000-0010-0000-0D00-000006000000}" name="entity_id"/>
    <tableColumn id="7" xr3:uid="{00000000-0010-0000-0D00-000007000000}" name="recipient_type"/>
    <tableColumn id="8" xr3:uid="{00000000-0010-0000-0D00-000008000000}" name="recipient_id"/>
    <tableColumn id="9" xr3:uid="{00000000-0010-0000-0D00-000009000000}" name="title"/>
    <tableColumn id="10" xr3:uid="{00000000-0010-0000-0D00-00000A000000}" name="message"/>
    <tableColumn id="11" xr3:uid="{00000000-0010-0000-0D00-00000B000000}" name="status"/>
    <tableColumn id="12" xr3:uid="{00000000-0010-0000-0D00-00000C000000}" name="read_at"/>
    <tableColumn id="13" xr3:uid="{00000000-0010-0000-0D00-00000D000000}" name="idempotency_key"/>
    <tableColumn id="14" xr3:uid="{00000000-0010-0000-0D00-00000E000000}" name="source_serv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Audit_Log" displayName="Tbl_Audit_Log" ref="A4:K24" totalsRowShown="0">
  <autoFilter ref="A4:K24" xr:uid="{00000000-0009-0000-0100-00000F000000}"/>
  <tableColumns count="11">
    <tableColumn id="1" xr3:uid="{00000000-0010-0000-0E00-000001000000}" name="audit_id"/>
    <tableColumn id="2" xr3:uid="{00000000-0010-0000-0E00-000002000000}" name="occurred_at"/>
    <tableColumn id="3" xr3:uid="{00000000-0010-0000-0E00-000003000000}" name="actor_type"/>
    <tableColumn id="4" xr3:uid="{00000000-0010-0000-0E00-000004000000}" name="actor_id"/>
    <tableColumn id="5" xr3:uid="{00000000-0010-0000-0E00-000005000000}" name="action"/>
    <tableColumn id="6" xr3:uid="{00000000-0010-0000-0E00-000006000000}" name="entity_type"/>
    <tableColumn id="7" xr3:uid="{00000000-0010-0000-0E00-000007000000}" name="entity_id"/>
    <tableColumn id="8" xr3:uid="{00000000-0010-0000-0E00-000008000000}" name="result"/>
    <tableColumn id="9" xr3:uid="{00000000-0010-0000-0E00-000009000000}" name="ip_or_source"/>
    <tableColumn id="10" xr3:uid="{00000000-0010-0000-0E00-00000A000000}" name="correlation_id"/>
    <tableColumn id="11" xr3:uid="{00000000-0010-0000-0E00-00000B000000}" name="immutable_hash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Security_Events" displayName="Tbl_Security_Events" ref="A4:J12" totalsRowShown="0">
  <autoFilter ref="A4:J12" xr:uid="{00000000-0009-0000-0100-000010000000}"/>
  <tableColumns count="10">
    <tableColumn id="1" xr3:uid="{00000000-0010-0000-0F00-000001000000}" name="security_event_id"/>
    <tableColumn id="2" xr3:uid="{00000000-0010-0000-0F00-000002000000}" name="occurred_at"/>
    <tableColumn id="3" xr3:uid="{00000000-0010-0000-0F00-000003000000}" name="event_type"/>
    <tableColumn id="4" xr3:uid="{00000000-0010-0000-0F00-000004000000}" name="severity"/>
    <tableColumn id="5" xr3:uid="{00000000-0010-0000-0F00-000005000000}" name="user_id"/>
    <tableColumn id="6" xr3:uid="{00000000-0010-0000-0F00-000006000000}" name="ip_or_source"/>
    <tableColumn id="7" xr3:uid="{00000000-0010-0000-0F00-000007000000}" name="risk_score"/>
    <tableColumn id="8" xr3:uid="{00000000-0010-0000-0F00-000008000000}" name="status"/>
    <tableColumn id="9" xr3:uid="{00000000-0010-0000-0F00-000009000000}" name="action_taken"/>
    <tableColumn id="10" xr3:uid="{00000000-0010-0000-0F00-00000A000000}" name="correlation_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Automation_Rules" displayName="Tbl_Automation_Rules" ref="A4:L12" totalsRowShown="0">
  <autoFilter ref="A4:L12" xr:uid="{00000000-0009-0000-0100-000011000000}"/>
  <tableColumns count="12">
    <tableColumn id="1" xr3:uid="{00000000-0010-0000-1000-000001000000}" name="rule_id"/>
    <tableColumn id="2" xr3:uid="{00000000-0010-0000-1000-000002000000}" name="rule_name"/>
    <tableColumn id="3" xr3:uid="{00000000-0010-0000-1000-000003000000}" name="entity_type"/>
    <tableColumn id="4" xr3:uid="{00000000-0010-0000-1000-000004000000}" name="schedule_cron"/>
    <tableColumn id="5" xr3:uid="{00000000-0010-0000-1000-000005000000}" name="timezone"/>
    <tableColumn id="6" xr3:uid="{00000000-0010-0000-1000-000006000000}" name="condition_summary"/>
    <tableColumn id="7" xr3:uid="{00000000-0010-0000-1000-000007000000}" name="action_endpoint"/>
    <tableColumn id="8" xr3:uid="{00000000-0010-0000-1000-000008000000}" name="severity"/>
    <tableColumn id="9" xr3:uid="{00000000-0010-0000-1000-000009000000}" name="active_flag"/>
    <tableColumn id="10" xr3:uid="{00000000-0010-0000-1000-00000A000000}" name="owner"/>
    <tableColumn id="11" xr3:uid="{00000000-0010-0000-1000-00000B000000}" name="threshold_value"/>
    <tableColumn id="12" xr3:uid="{00000000-0010-0000-1000-00000C000000}" name="threshold_uni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Automation_Runs" displayName="Tbl_Automation_Runs" ref="A4:L20" totalsRowShown="0">
  <autoFilter ref="A4:L20" xr:uid="{00000000-0009-0000-0100-000012000000}"/>
  <tableColumns count="12">
    <tableColumn id="1" xr3:uid="{00000000-0010-0000-1100-000001000000}" name="run_id"/>
    <tableColumn id="2" xr3:uid="{00000000-0010-0000-1100-000002000000}" name="rule_id"/>
    <tableColumn id="3" xr3:uid="{00000000-0010-0000-1100-000003000000}" name="started_at"/>
    <tableColumn id="4" xr3:uid="{00000000-0010-0000-1100-000004000000}" name="finished_at"/>
    <tableColumn id="5" xr3:uid="{00000000-0010-0000-1100-000005000000}" name="records_scanned"/>
    <tableColumn id="6" xr3:uid="{00000000-0010-0000-1100-000006000000}" name="records_matched"/>
    <tableColumn id="7" xr3:uid="{00000000-0010-0000-1100-000007000000}" name="actions_requested"/>
    <tableColumn id="8" xr3:uid="{00000000-0010-0000-1100-000008000000}" name="actions_succeeded"/>
    <tableColumn id="9" xr3:uid="{00000000-0010-0000-1100-000009000000}" name="actions_failed"/>
    <tableColumn id="10" xr3:uid="{00000000-0010-0000-1100-00000A000000}" name="status"/>
    <tableColumn id="11" xr3:uid="{00000000-0010-0000-1100-00000B000000}" name="error_summary"/>
    <tableColumn id="12" xr3:uid="{00000000-0010-0000-1100-00000C000000}" name="correlation_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Automation_Actions" displayName="Tbl_Automation_Actions" ref="A4:M16" totalsRowShown="0">
  <autoFilter ref="A4:M16" xr:uid="{00000000-0009-0000-0100-000013000000}"/>
  <tableColumns count="13">
    <tableColumn id="1" xr3:uid="{00000000-0010-0000-1200-000001000000}" name="action_id"/>
    <tableColumn id="2" xr3:uid="{00000000-0010-0000-1200-000002000000}" name="run_id"/>
    <tableColumn id="3" xr3:uid="{00000000-0010-0000-1200-000003000000}" name="rule_id"/>
    <tableColumn id="4" xr3:uid="{00000000-0010-0000-1200-000004000000}" name="entity_type"/>
    <tableColumn id="5" xr3:uid="{00000000-0010-0000-1200-000005000000}" name="entity_id"/>
    <tableColumn id="6" xr3:uid="{00000000-0010-0000-1200-000006000000}" name="action_type"/>
    <tableColumn id="7" xr3:uid="{00000000-0010-0000-1200-000007000000}" name="spring_endpoint"/>
    <tableColumn id="8" xr3:uid="{00000000-0010-0000-1200-000008000000}" name="requested_at"/>
    <tableColumn id="9" xr3:uid="{00000000-0010-0000-1200-000009000000}" name="http_status"/>
    <tableColumn id="10" xr3:uid="{00000000-0010-0000-1200-00000A000000}" name="outcome"/>
    <tableColumn id="11" xr3:uid="{00000000-0010-0000-1200-00000B000000}" name="idempotency_key"/>
    <tableColumn id="12" xr3:uid="{00000000-0010-0000-1200-00000C000000}" name="audit_id"/>
    <tableColumn id="13" xr3:uid="{00000000-0010-0000-1200-00000D000000}" name="error_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workbookViewId="0">
      <selection sqref="A1:H1"/>
    </sheetView>
  </sheetViews>
  <sheetFormatPr defaultRowHeight="13.8"/>
  <cols>
    <col min="1" max="1" width="24" customWidth="1"/>
    <col min="2" max="2" width="28" customWidth="1"/>
    <col min="3" max="3" width="42" customWidth="1"/>
    <col min="4" max="4" width="12" customWidth="1"/>
  </cols>
  <sheetData>
    <row r="1" spans="1:8" ht="37.950000000000003" customHeight="1">
      <c r="A1" s="36" t="s">
        <v>0</v>
      </c>
      <c r="B1" s="36"/>
      <c r="C1" s="36"/>
      <c r="D1" s="36"/>
      <c r="E1" s="36"/>
      <c r="F1" s="36"/>
      <c r="G1" s="36"/>
      <c r="H1" s="36"/>
    </row>
    <row r="2" spans="1:8" ht="28.05" customHeight="1">
      <c r="A2" s="37" t="s">
        <v>1</v>
      </c>
      <c r="B2" s="37"/>
      <c r="C2" s="37"/>
      <c r="D2" s="37"/>
      <c r="E2" s="37"/>
      <c r="F2" s="37"/>
      <c r="G2" s="37"/>
      <c r="H2" s="37"/>
    </row>
    <row r="4" spans="1:8">
      <c r="A4" s="2" t="s">
        <v>2</v>
      </c>
      <c r="B4" s="38" t="s">
        <v>3</v>
      </c>
      <c r="C4" s="38"/>
      <c r="D4" s="38"/>
    </row>
    <row r="5" spans="1:8" ht="31.95" customHeight="1">
      <c r="A5" s="4" t="s">
        <v>4</v>
      </c>
      <c r="B5" s="39" t="s">
        <v>5</v>
      </c>
      <c r="C5" s="39"/>
      <c r="D5" s="39"/>
    </row>
    <row r="6" spans="1:8" ht="31.95" customHeight="1">
      <c r="A6" s="4" t="s">
        <v>6</v>
      </c>
      <c r="B6" s="39" t="s">
        <v>7</v>
      </c>
      <c r="C6" s="39"/>
      <c r="D6" s="39"/>
    </row>
    <row r="7" spans="1:8" ht="43.95" customHeight="1">
      <c r="A7" s="4" t="s">
        <v>8</v>
      </c>
      <c r="B7" s="39" t="s">
        <v>9</v>
      </c>
      <c r="C7" s="39"/>
      <c r="D7" s="39"/>
    </row>
    <row r="8" spans="1:8" ht="31.95" customHeight="1">
      <c r="A8" s="4" t="s">
        <v>10</v>
      </c>
      <c r="B8" s="39" t="s">
        <v>11</v>
      </c>
      <c r="C8" s="39"/>
      <c r="D8" s="39"/>
    </row>
    <row r="9" spans="1:8" ht="31.95" customHeight="1">
      <c r="A9" s="4" t="s">
        <v>12</v>
      </c>
      <c r="B9" s="39" t="s">
        <v>13</v>
      </c>
      <c r="C9" s="39"/>
      <c r="D9" s="39"/>
    </row>
    <row r="10" spans="1:8" ht="31.95" customHeight="1">
      <c r="A10" s="4" t="s">
        <v>14</v>
      </c>
      <c r="B10" s="39" t="s">
        <v>15</v>
      </c>
      <c r="C10" s="39"/>
      <c r="D10" s="39"/>
    </row>
    <row r="11" spans="1:8" ht="43.95" customHeight="1">
      <c r="A11" s="4" t="s">
        <v>16</v>
      </c>
      <c r="B11" s="39" t="s">
        <v>17</v>
      </c>
      <c r="C11" s="39"/>
      <c r="D11" s="39"/>
    </row>
    <row r="12" spans="1:8" ht="43.95" customHeight="1">
      <c r="A12" s="4" t="s">
        <v>18</v>
      </c>
      <c r="B12" s="39" t="s">
        <v>19</v>
      </c>
      <c r="C12" s="39"/>
      <c r="D12" s="39"/>
    </row>
    <row r="14" spans="1:8">
      <c r="A14" s="2" t="s">
        <v>20</v>
      </c>
      <c r="B14" s="2" t="s">
        <v>21</v>
      </c>
      <c r="C14" s="2" t="s">
        <v>22</v>
      </c>
      <c r="D14" s="2" t="s">
        <v>23</v>
      </c>
    </row>
    <row r="15" spans="1:8">
      <c r="A15" t="s">
        <v>24</v>
      </c>
      <c r="B15" t="s">
        <v>25</v>
      </c>
      <c r="C15" t="s">
        <v>26</v>
      </c>
      <c r="D15">
        <v>8</v>
      </c>
    </row>
    <row r="16" spans="1:8">
      <c r="A16" t="s">
        <v>27</v>
      </c>
      <c r="B16" t="s">
        <v>25</v>
      </c>
      <c r="C16" t="s">
        <v>28</v>
      </c>
      <c r="D16">
        <v>32</v>
      </c>
    </row>
    <row r="17" spans="1:4">
      <c r="A17" t="s">
        <v>29</v>
      </c>
      <c r="B17" t="s">
        <v>25</v>
      </c>
      <c r="C17" t="s">
        <v>30</v>
      </c>
      <c r="D17">
        <v>8</v>
      </c>
    </row>
    <row r="18" spans="1:4">
      <c r="A18" t="s">
        <v>31</v>
      </c>
      <c r="B18" t="s">
        <v>25</v>
      </c>
      <c r="C18" t="s">
        <v>32</v>
      </c>
      <c r="D18">
        <v>8</v>
      </c>
    </row>
    <row r="19" spans="1:4">
      <c r="A19" t="s">
        <v>33</v>
      </c>
      <c r="B19" t="s">
        <v>25</v>
      </c>
      <c r="C19" t="s">
        <v>34</v>
      </c>
      <c r="D19">
        <v>18</v>
      </c>
    </row>
    <row r="20" spans="1:4">
      <c r="A20" t="s">
        <v>35</v>
      </c>
      <c r="B20" t="s">
        <v>25</v>
      </c>
      <c r="C20" t="s">
        <v>36</v>
      </c>
      <c r="D20">
        <v>10</v>
      </c>
    </row>
    <row r="21" spans="1:4">
      <c r="A21" t="s">
        <v>37</v>
      </c>
      <c r="B21" t="s">
        <v>25</v>
      </c>
      <c r="C21" t="s">
        <v>38</v>
      </c>
      <c r="D21">
        <v>10</v>
      </c>
    </row>
    <row r="22" spans="1:4">
      <c r="A22" t="s">
        <v>39</v>
      </c>
      <c r="B22" t="s">
        <v>40</v>
      </c>
      <c r="C22" t="s">
        <v>41</v>
      </c>
      <c r="D22">
        <v>6</v>
      </c>
    </row>
    <row r="23" spans="1:4">
      <c r="A23" t="s">
        <v>42</v>
      </c>
      <c r="B23" t="s">
        <v>40</v>
      </c>
      <c r="C23" t="s">
        <v>43</v>
      </c>
      <c r="D23">
        <v>20</v>
      </c>
    </row>
    <row r="24" spans="1:4">
      <c r="A24" t="s">
        <v>44</v>
      </c>
      <c r="B24" t="s">
        <v>40</v>
      </c>
      <c r="C24" t="s">
        <v>45</v>
      </c>
      <c r="D24">
        <v>6</v>
      </c>
    </row>
    <row r="25" spans="1:4">
      <c r="A25" t="s">
        <v>46</v>
      </c>
      <c r="B25" t="s">
        <v>25</v>
      </c>
      <c r="C25" t="s">
        <v>47</v>
      </c>
      <c r="D25">
        <v>4</v>
      </c>
    </row>
    <row r="26" spans="1:4">
      <c r="A26" t="s">
        <v>48</v>
      </c>
      <c r="B26" t="s">
        <v>25</v>
      </c>
      <c r="C26" t="s">
        <v>49</v>
      </c>
      <c r="D26">
        <v>10</v>
      </c>
    </row>
    <row r="27" spans="1:4">
      <c r="A27" t="s">
        <v>50</v>
      </c>
      <c r="B27" t="s">
        <v>51</v>
      </c>
      <c r="C27" t="s">
        <v>52</v>
      </c>
      <c r="D27">
        <v>5</v>
      </c>
    </row>
    <row r="28" spans="1:4">
      <c r="A28" t="s">
        <v>53</v>
      </c>
      <c r="B28" t="s">
        <v>54</v>
      </c>
      <c r="C28" t="s">
        <v>55</v>
      </c>
      <c r="D28">
        <v>18</v>
      </c>
    </row>
    <row r="29" spans="1:4">
      <c r="A29" t="s">
        <v>56</v>
      </c>
      <c r="B29" t="s">
        <v>57</v>
      </c>
      <c r="C29" t="s">
        <v>58</v>
      </c>
      <c r="D29">
        <v>20</v>
      </c>
    </row>
    <row r="30" spans="1:4">
      <c r="A30" t="s">
        <v>59</v>
      </c>
      <c r="B30" t="s">
        <v>57</v>
      </c>
      <c r="C30" t="s">
        <v>60</v>
      </c>
      <c r="D30">
        <v>8</v>
      </c>
    </row>
    <row r="31" spans="1:4">
      <c r="A31" t="s">
        <v>61</v>
      </c>
      <c r="B31" t="s">
        <v>62</v>
      </c>
      <c r="C31" t="s">
        <v>63</v>
      </c>
      <c r="D31">
        <v>8</v>
      </c>
    </row>
    <row r="32" spans="1:4">
      <c r="A32" t="s">
        <v>64</v>
      </c>
      <c r="B32" t="s">
        <v>62</v>
      </c>
      <c r="C32" t="s">
        <v>65</v>
      </c>
      <c r="D32">
        <v>16</v>
      </c>
    </row>
    <row r="33" spans="1:4">
      <c r="A33" t="s">
        <v>66</v>
      </c>
      <c r="B33" t="s">
        <v>62</v>
      </c>
      <c r="C33" t="s">
        <v>67</v>
      </c>
      <c r="D33">
        <v>12</v>
      </c>
    </row>
  </sheetData>
  <mergeCells count="11">
    <mergeCell ref="B12:D12"/>
    <mergeCell ref="B7:D7"/>
    <mergeCell ref="B8:D8"/>
    <mergeCell ref="B9:D9"/>
    <mergeCell ref="B10:D10"/>
    <mergeCell ref="B11:D11"/>
    <mergeCell ref="A1:H1"/>
    <mergeCell ref="A2:H2"/>
    <mergeCell ref="B4:D4"/>
    <mergeCell ref="B5:D5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workbookViewId="0"/>
  </sheetViews>
  <sheetFormatPr defaultRowHeight="13.8"/>
  <cols>
    <col min="1" max="1" width="22" customWidth="1"/>
    <col min="2" max="2" width="18" customWidth="1"/>
    <col min="4" max="4" width="20" customWidth="1"/>
    <col min="5" max="5" width="12" customWidth="1"/>
  </cols>
  <sheetData>
    <row r="1" spans="1:12" ht="36" customHeight="1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5.95" customHeight="1">
      <c r="A2" s="41" t="s">
        <v>69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3" t="s">
        <v>70</v>
      </c>
      <c r="B3" s="30">
        <v>46247</v>
      </c>
    </row>
    <row r="4" spans="1:12">
      <c r="A4" s="3" t="s">
        <v>71</v>
      </c>
      <c r="B4" s="31">
        <v>46247.375</v>
      </c>
    </row>
    <row r="6" spans="1:12">
      <c r="A6" s="2" t="s">
        <v>72</v>
      </c>
      <c r="B6" s="2" t="s">
        <v>73</v>
      </c>
      <c r="D6" s="1" t="s">
        <v>74</v>
      </c>
      <c r="E6" s="1" t="s">
        <v>75</v>
      </c>
    </row>
    <row r="7" spans="1:12" ht="15.6">
      <c r="A7" s="32" t="s">
        <v>76</v>
      </c>
      <c r="B7" s="33">
        <f>COUNTA(Sensor_Readings!$A$5:$A$100)</f>
        <v>32</v>
      </c>
      <c r="D7" t="s">
        <v>77</v>
      </c>
      <c r="E7">
        <f>COUNTIF(Sensor_Readings!$K$5:$K$100,"NORMAL")</f>
        <v>19</v>
      </c>
    </row>
    <row r="8" spans="1:12" ht="15.6">
      <c r="A8" s="34" t="s">
        <v>78</v>
      </c>
      <c r="B8" s="35">
        <f>COUNTIF(Sensor_Readings!$K$5:$K$100,"CRITICAL")</f>
        <v>8</v>
      </c>
      <c r="D8" t="s">
        <v>79</v>
      </c>
      <c r="E8">
        <f>COUNTIF(Sensor_Readings!$K$5:$K$100,"WARNING")</f>
        <v>5</v>
      </c>
    </row>
    <row r="9" spans="1:12" ht="15.6">
      <c r="A9" s="32" t="s">
        <v>80</v>
      </c>
      <c r="B9" s="33">
        <f>COUNTIF(AI_Events!$I$5:$I$100,"OPEN")</f>
        <v>5</v>
      </c>
      <c r="D9" t="s">
        <v>81</v>
      </c>
      <c r="E9">
        <f>COUNTIF(Sensor_Readings!$K$5:$K$100,"CRITICAL")</f>
        <v>8</v>
      </c>
    </row>
    <row r="10" spans="1:12" ht="15.6">
      <c r="A10" s="34" t="s">
        <v>82</v>
      </c>
      <c r="B10" s="35">
        <f>COUNTA(Integrations!$A$5:$A$100)-COUNTIF(Integrations!$I$5:$I$100,"CONNECTED")</f>
        <v>1</v>
      </c>
    </row>
    <row r="11" spans="1:12" ht="15.6">
      <c r="A11" s="32" t="s">
        <v>83</v>
      </c>
      <c r="B11" s="33">
        <f>COUNTIF(Notifications!$K$5:$K$100,"UNREAD")</f>
        <v>10</v>
      </c>
    </row>
    <row r="12" spans="1:12" ht="15.6">
      <c r="A12" s="34" t="s">
        <v>84</v>
      </c>
      <c r="B12" s="35">
        <f>SUM(Automation_Runs!$I$5:$I$100)</f>
        <v>1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showGridLines="0" workbookViewId="0"/>
  </sheetViews>
  <sheetFormatPr defaultRowHeight="13.8"/>
  <cols>
    <col min="1" max="5" width="18" customWidth="1"/>
    <col min="6" max="9" width="13" customWidth="1"/>
    <col min="10" max="10" width="18" customWidth="1"/>
    <col min="11" max="12" width="13" customWidth="1"/>
  </cols>
  <sheetData>
    <row r="1" spans="1:12" ht="31.95" customHeight="1">
      <c r="A1" s="42" t="s">
        <v>85</v>
      </c>
      <c r="B1" s="42" t="s">
        <v>85</v>
      </c>
      <c r="C1" s="42" t="s">
        <v>85</v>
      </c>
      <c r="D1" s="42" t="s">
        <v>85</v>
      </c>
      <c r="E1" s="42" t="s">
        <v>85</v>
      </c>
      <c r="F1" s="42" t="s">
        <v>85</v>
      </c>
      <c r="G1" s="42" t="s">
        <v>85</v>
      </c>
      <c r="H1" s="42" t="s">
        <v>85</v>
      </c>
      <c r="I1" s="42" t="s">
        <v>85</v>
      </c>
      <c r="J1" s="42" t="s">
        <v>85</v>
      </c>
      <c r="K1" s="42" t="s">
        <v>85</v>
      </c>
      <c r="L1" s="42" t="s">
        <v>85</v>
      </c>
    </row>
    <row r="2" spans="1:12" ht="28.05" customHeight="1">
      <c r="A2" s="43" t="s">
        <v>86</v>
      </c>
      <c r="B2" s="43" t="s">
        <v>86</v>
      </c>
      <c r="C2" s="43" t="s">
        <v>86</v>
      </c>
      <c r="D2" s="43" t="s">
        <v>86</v>
      </c>
      <c r="E2" s="43" t="s">
        <v>86</v>
      </c>
      <c r="F2" s="43" t="s">
        <v>86</v>
      </c>
      <c r="G2" s="43" t="s">
        <v>86</v>
      </c>
      <c r="H2" s="43" t="s">
        <v>86</v>
      </c>
      <c r="I2" s="43" t="s">
        <v>86</v>
      </c>
      <c r="J2" s="43" t="s">
        <v>86</v>
      </c>
      <c r="K2" s="43" t="s">
        <v>86</v>
      </c>
      <c r="L2" s="43" t="s">
        <v>86</v>
      </c>
    </row>
    <row r="4" spans="1:12" ht="30" customHeight="1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</row>
    <row r="5" spans="1:12" ht="24" customHeight="1">
      <c r="A5" s="6" t="s">
        <v>99</v>
      </c>
      <c r="B5" s="6" t="s">
        <v>100</v>
      </c>
      <c r="C5" s="6" t="s">
        <v>101</v>
      </c>
      <c r="D5" s="6" t="s">
        <v>102</v>
      </c>
      <c r="E5" s="6" t="s">
        <v>103</v>
      </c>
      <c r="F5" s="7">
        <v>0</v>
      </c>
      <c r="G5" s="7">
        <v>50</v>
      </c>
      <c r="H5" s="7">
        <v>0</v>
      </c>
      <c r="I5" s="7">
        <v>100</v>
      </c>
      <c r="J5" s="6" t="s">
        <v>104</v>
      </c>
      <c r="K5" s="8">
        <v>46204</v>
      </c>
      <c r="L5" s="8">
        <v>46388</v>
      </c>
    </row>
    <row r="6" spans="1:12" ht="24" customHeight="1">
      <c r="A6" s="9" t="s">
        <v>105</v>
      </c>
      <c r="B6" s="9" t="s">
        <v>106</v>
      </c>
      <c r="C6" s="9" t="s">
        <v>107</v>
      </c>
      <c r="D6" s="9" t="s">
        <v>108</v>
      </c>
      <c r="E6" s="9" t="s">
        <v>109</v>
      </c>
      <c r="F6" s="10">
        <v>0</v>
      </c>
      <c r="G6" s="10">
        <v>85</v>
      </c>
      <c r="H6" s="10">
        <v>0</v>
      </c>
      <c r="I6" s="10">
        <v>90</v>
      </c>
      <c r="J6" s="9" t="s">
        <v>104</v>
      </c>
      <c r="K6" s="11">
        <v>46208</v>
      </c>
      <c r="L6" s="11">
        <v>46392</v>
      </c>
    </row>
    <row r="7" spans="1:12" ht="24" customHeight="1">
      <c r="A7" s="9" t="s">
        <v>110</v>
      </c>
      <c r="B7" s="9" t="s">
        <v>111</v>
      </c>
      <c r="C7" s="9" t="s">
        <v>107</v>
      </c>
      <c r="D7" s="9" t="s">
        <v>112</v>
      </c>
      <c r="E7" s="9" t="s">
        <v>113</v>
      </c>
      <c r="F7" s="10">
        <v>0</v>
      </c>
      <c r="G7" s="10">
        <v>28</v>
      </c>
      <c r="H7" s="10">
        <v>0</v>
      </c>
      <c r="I7" s="10">
        <v>30</v>
      </c>
      <c r="J7" s="9" t="s">
        <v>104</v>
      </c>
      <c r="K7" s="11">
        <v>46206</v>
      </c>
      <c r="L7" s="11">
        <v>46390</v>
      </c>
    </row>
    <row r="8" spans="1:12" ht="24" customHeight="1">
      <c r="A8" s="9" t="s">
        <v>114</v>
      </c>
      <c r="B8" s="9" t="s">
        <v>115</v>
      </c>
      <c r="C8" s="9" t="s">
        <v>101</v>
      </c>
      <c r="D8" s="9" t="s">
        <v>102</v>
      </c>
      <c r="E8" s="9" t="s">
        <v>116</v>
      </c>
      <c r="F8" s="10">
        <v>0</v>
      </c>
      <c r="G8" s="10">
        <v>10</v>
      </c>
      <c r="H8" s="10">
        <v>0</v>
      </c>
      <c r="I8" s="10">
        <v>20</v>
      </c>
      <c r="J8" s="9" t="s">
        <v>104</v>
      </c>
      <c r="K8" s="11">
        <v>46207</v>
      </c>
      <c r="L8" s="11">
        <v>46391</v>
      </c>
    </row>
    <row r="9" spans="1:12" ht="24" customHeight="1">
      <c r="A9" s="9" t="s">
        <v>117</v>
      </c>
      <c r="B9" s="9" t="s">
        <v>118</v>
      </c>
      <c r="C9" s="9" t="s">
        <v>119</v>
      </c>
      <c r="D9" s="9" t="s">
        <v>120</v>
      </c>
      <c r="E9" s="9" t="s">
        <v>121</v>
      </c>
      <c r="F9" s="10">
        <v>20</v>
      </c>
      <c r="G9" s="10">
        <v>23</v>
      </c>
      <c r="H9" s="10">
        <v>19.5</v>
      </c>
      <c r="I9" s="10">
        <v>23.5</v>
      </c>
      <c r="J9" s="9" t="s">
        <v>104</v>
      </c>
      <c r="K9" s="11">
        <v>46235</v>
      </c>
      <c r="L9" s="11">
        <v>46327</v>
      </c>
    </row>
    <row r="10" spans="1:12" ht="24" customHeight="1">
      <c r="A10" s="9" t="s">
        <v>122</v>
      </c>
      <c r="B10" s="9" t="s">
        <v>123</v>
      </c>
      <c r="C10" s="9" t="s">
        <v>124</v>
      </c>
      <c r="D10" s="9" t="s">
        <v>125</v>
      </c>
      <c r="E10" s="9" t="s">
        <v>126</v>
      </c>
      <c r="F10" s="10">
        <v>0</v>
      </c>
      <c r="G10" s="10">
        <v>25</v>
      </c>
      <c r="H10" s="10">
        <v>0</v>
      </c>
      <c r="I10" s="10">
        <v>35</v>
      </c>
      <c r="J10" s="9" t="s">
        <v>104</v>
      </c>
      <c r="K10" s="11">
        <v>46188</v>
      </c>
      <c r="L10" s="11">
        <v>46371</v>
      </c>
    </row>
    <row r="11" spans="1:12" ht="24" customHeight="1">
      <c r="A11" s="9" t="s">
        <v>127</v>
      </c>
      <c r="B11" s="9" t="s">
        <v>128</v>
      </c>
      <c r="C11" s="9" t="s">
        <v>129</v>
      </c>
      <c r="D11" s="9" t="s">
        <v>130</v>
      </c>
      <c r="E11" s="9" t="s">
        <v>113</v>
      </c>
      <c r="F11" s="10">
        <v>18</v>
      </c>
      <c r="G11" s="10">
        <v>27</v>
      </c>
      <c r="H11" s="10">
        <v>15</v>
      </c>
      <c r="I11" s="10">
        <v>30</v>
      </c>
      <c r="J11" s="9" t="s">
        <v>104</v>
      </c>
      <c r="K11" s="11">
        <v>46213</v>
      </c>
      <c r="L11" s="11">
        <v>46397</v>
      </c>
    </row>
    <row r="12" spans="1:12" ht="24" customHeight="1">
      <c r="A12" s="12" t="s">
        <v>131</v>
      </c>
      <c r="B12" s="12" t="s">
        <v>132</v>
      </c>
      <c r="C12" s="12" t="s">
        <v>124</v>
      </c>
      <c r="D12" s="12" t="s">
        <v>133</v>
      </c>
      <c r="E12" s="12" t="s">
        <v>116</v>
      </c>
      <c r="F12" s="13">
        <v>0</v>
      </c>
      <c r="G12" s="13">
        <v>0.5</v>
      </c>
      <c r="H12" s="13">
        <v>0</v>
      </c>
      <c r="I12" s="13">
        <v>1</v>
      </c>
      <c r="J12" s="12" t="s">
        <v>134</v>
      </c>
      <c r="K12" s="14">
        <v>46143</v>
      </c>
      <c r="L12" s="14">
        <v>46249</v>
      </c>
    </row>
  </sheetData>
  <mergeCells count="2">
    <mergeCell ref="A1:L1"/>
    <mergeCell ref="A2:L2"/>
  </mergeCells>
  <conditionalFormatting sqref="J5:J12">
    <cfRule type="containsText" dxfId="107" priority="1" operator="containsText" text="CRITICAL"/>
    <cfRule type="containsText" dxfId="106" priority="8" operator="containsText" text="HIGH"/>
    <cfRule type="containsText" dxfId="105" priority="17" operator="containsText" text="ACTIVE"/>
    <cfRule type="containsText" dxfId="104" priority="28" operator="containsText" text="INFO"/>
  </conditionalFormatting>
  <dataValidations count="1">
    <dataValidation type="list" sqref="J5:J12" xr:uid="{00000000-0002-0000-0200-000000000000}">
      <formula1>"ACTIVE,MAINTENANCE,OFFLINE"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showGridLines="0" workbookViewId="0"/>
  </sheetViews>
  <sheetFormatPr defaultRowHeight="13.8"/>
  <cols>
    <col min="1" max="2" width="18" customWidth="1"/>
    <col min="3" max="3" width="20" customWidth="1"/>
    <col min="4" max="4" width="13" customWidth="1"/>
    <col min="5" max="6" width="18" customWidth="1"/>
    <col min="7" max="11" width="13" customWidth="1"/>
  </cols>
  <sheetData>
    <row r="1" spans="1:11" ht="31.95" customHeight="1">
      <c r="A1" s="42" t="s">
        <v>135</v>
      </c>
      <c r="B1" s="42" t="s">
        <v>135</v>
      </c>
      <c r="C1" s="42" t="s">
        <v>135</v>
      </c>
      <c r="D1" s="42" t="s">
        <v>135</v>
      </c>
      <c r="E1" s="42" t="s">
        <v>135</v>
      </c>
      <c r="F1" s="42" t="s">
        <v>135</v>
      </c>
      <c r="G1" s="42" t="s">
        <v>135</v>
      </c>
      <c r="H1" s="42" t="s">
        <v>135</v>
      </c>
      <c r="I1" s="42" t="s">
        <v>135</v>
      </c>
      <c r="J1" s="42" t="s">
        <v>135</v>
      </c>
      <c r="K1" s="42" t="s">
        <v>135</v>
      </c>
    </row>
    <row r="2" spans="1:11" ht="28.05" customHeight="1">
      <c r="A2" s="43" t="s">
        <v>136</v>
      </c>
      <c r="B2" s="43" t="s">
        <v>136</v>
      </c>
      <c r="C2" s="43" t="s">
        <v>136</v>
      </c>
      <c r="D2" s="43" t="s">
        <v>136</v>
      </c>
      <c r="E2" s="43" t="s">
        <v>136</v>
      </c>
      <c r="F2" s="43" t="s">
        <v>136</v>
      </c>
      <c r="G2" s="43" t="s">
        <v>136</v>
      </c>
      <c r="H2" s="43" t="s">
        <v>136</v>
      </c>
      <c r="I2" s="43" t="s">
        <v>136</v>
      </c>
      <c r="J2" s="43" t="s">
        <v>136</v>
      </c>
      <c r="K2" s="43" t="s">
        <v>136</v>
      </c>
    </row>
    <row r="4" spans="1:11" ht="30" customHeight="1">
      <c r="A4" s="5" t="s">
        <v>137</v>
      </c>
      <c r="B4" s="5" t="s">
        <v>87</v>
      </c>
      <c r="C4" s="5" t="s">
        <v>138</v>
      </c>
      <c r="D4" s="5" t="s">
        <v>139</v>
      </c>
      <c r="E4" s="5" t="s">
        <v>91</v>
      </c>
      <c r="F4" s="5" t="s">
        <v>140</v>
      </c>
      <c r="G4" s="5" t="s">
        <v>92</v>
      </c>
      <c r="H4" s="5" t="s">
        <v>93</v>
      </c>
      <c r="I4" s="5" t="s">
        <v>94</v>
      </c>
      <c r="J4" s="5" t="s">
        <v>95</v>
      </c>
      <c r="K4" s="5" t="s">
        <v>141</v>
      </c>
    </row>
    <row r="5" spans="1:11" ht="24" customHeight="1">
      <c r="A5" s="6" t="s">
        <v>142</v>
      </c>
      <c r="B5" s="6" t="s">
        <v>99</v>
      </c>
      <c r="C5" s="15">
        <v>46247.218055555553</v>
      </c>
      <c r="D5" s="7">
        <v>42</v>
      </c>
      <c r="E5" s="6" t="s">
        <v>103</v>
      </c>
      <c r="F5" s="6" t="s">
        <v>143</v>
      </c>
      <c r="G5" s="7">
        <v>0</v>
      </c>
      <c r="H5" s="7">
        <v>50</v>
      </c>
      <c r="I5" s="7">
        <v>0</v>
      </c>
      <c r="J5" s="7">
        <v>100</v>
      </c>
      <c r="K5" s="6" t="str">
        <f t="shared" ref="K5:K36" si="0">IF(OR(D5&lt;I5,D5&gt;J5),"CRITICAL",IF(OR(D5&lt;G5,D5&gt;H5),"WARNING","NORMAL"))</f>
        <v>NORMAL</v>
      </c>
    </row>
    <row r="6" spans="1:11" ht="24" customHeight="1">
      <c r="A6" s="9" t="s">
        <v>144</v>
      </c>
      <c r="B6" s="9" t="s">
        <v>99</v>
      </c>
      <c r="C6" s="16">
        <v>46247.26458333333</v>
      </c>
      <c r="D6" s="10">
        <v>56</v>
      </c>
      <c r="E6" s="9" t="s">
        <v>103</v>
      </c>
      <c r="F6" s="9" t="s">
        <v>143</v>
      </c>
      <c r="G6" s="10">
        <v>0</v>
      </c>
      <c r="H6" s="10">
        <v>50</v>
      </c>
      <c r="I6" s="10">
        <v>0</v>
      </c>
      <c r="J6" s="10">
        <v>100</v>
      </c>
      <c r="K6" s="9" t="str">
        <f t="shared" si="0"/>
        <v>WARNING</v>
      </c>
    </row>
    <row r="7" spans="1:11" ht="24" customHeight="1">
      <c r="A7" s="9" t="s">
        <v>145</v>
      </c>
      <c r="B7" s="9" t="s">
        <v>99</v>
      </c>
      <c r="C7" s="16">
        <v>46247.311111111114</v>
      </c>
      <c r="D7" s="10">
        <v>48</v>
      </c>
      <c r="E7" s="9" t="s">
        <v>103</v>
      </c>
      <c r="F7" s="9" t="s">
        <v>143</v>
      </c>
      <c r="G7" s="10">
        <v>0</v>
      </c>
      <c r="H7" s="10">
        <v>50</v>
      </c>
      <c r="I7" s="10">
        <v>0</v>
      </c>
      <c r="J7" s="10">
        <v>100</v>
      </c>
      <c r="K7" s="9" t="str">
        <f t="shared" si="0"/>
        <v>NORMAL</v>
      </c>
    </row>
    <row r="8" spans="1:11" ht="24" customHeight="1">
      <c r="A8" s="9" t="s">
        <v>146</v>
      </c>
      <c r="B8" s="9" t="s">
        <v>99</v>
      </c>
      <c r="C8" s="16">
        <v>46247.357638888891</v>
      </c>
      <c r="D8" s="10">
        <v>39</v>
      </c>
      <c r="E8" s="9" t="s">
        <v>103</v>
      </c>
      <c r="F8" s="9" t="s">
        <v>143</v>
      </c>
      <c r="G8" s="10">
        <v>0</v>
      </c>
      <c r="H8" s="10">
        <v>50</v>
      </c>
      <c r="I8" s="10">
        <v>0</v>
      </c>
      <c r="J8" s="10">
        <v>100</v>
      </c>
      <c r="K8" s="9" t="str">
        <f t="shared" si="0"/>
        <v>NORMAL</v>
      </c>
    </row>
    <row r="9" spans="1:11" ht="24" customHeight="1">
      <c r="A9" s="9" t="s">
        <v>147</v>
      </c>
      <c r="B9" s="9" t="s">
        <v>105</v>
      </c>
      <c r="C9" s="16">
        <v>46247.237500000003</v>
      </c>
      <c r="D9" s="10">
        <v>82</v>
      </c>
      <c r="E9" s="9" t="s">
        <v>109</v>
      </c>
      <c r="F9" s="9" t="s">
        <v>143</v>
      </c>
      <c r="G9" s="10">
        <v>0</v>
      </c>
      <c r="H9" s="10">
        <v>85</v>
      </c>
      <c r="I9" s="10">
        <v>0</v>
      </c>
      <c r="J9" s="10">
        <v>90</v>
      </c>
      <c r="K9" s="9" t="str">
        <f t="shared" si="0"/>
        <v>NORMAL</v>
      </c>
    </row>
    <row r="10" spans="1:11" ht="24" customHeight="1">
      <c r="A10" s="9" t="s">
        <v>148</v>
      </c>
      <c r="B10" s="9" t="s">
        <v>105</v>
      </c>
      <c r="C10" s="16">
        <v>46247.28402777778</v>
      </c>
      <c r="D10" s="10">
        <v>88</v>
      </c>
      <c r="E10" s="9" t="s">
        <v>109</v>
      </c>
      <c r="F10" s="9" t="s">
        <v>143</v>
      </c>
      <c r="G10" s="10">
        <v>0</v>
      </c>
      <c r="H10" s="10">
        <v>85</v>
      </c>
      <c r="I10" s="10">
        <v>0</v>
      </c>
      <c r="J10" s="10">
        <v>90</v>
      </c>
      <c r="K10" s="9" t="str">
        <f t="shared" si="0"/>
        <v>WARNING</v>
      </c>
    </row>
    <row r="11" spans="1:11" ht="24" customHeight="1">
      <c r="A11" s="9" t="s">
        <v>149</v>
      </c>
      <c r="B11" s="9" t="s">
        <v>105</v>
      </c>
      <c r="C11" s="16">
        <v>46247.330555555556</v>
      </c>
      <c r="D11" s="10">
        <v>91</v>
      </c>
      <c r="E11" s="9" t="s">
        <v>109</v>
      </c>
      <c r="F11" s="9" t="s">
        <v>143</v>
      </c>
      <c r="G11" s="10">
        <v>0</v>
      </c>
      <c r="H11" s="10">
        <v>85</v>
      </c>
      <c r="I11" s="10">
        <v>0</v>
      </c>
      <c r="J11" s="10">
        <v>90</v>
      </c>
      <c r="K11" s="9" t="str">
        <f t="shared" si="0"/>
        <v>CRITICAL</v>
      </c>
    </row>
    <row r="12" spans="1:11" ht="24" customHeight="1">
      <c r="A12" s="9" t="s">
        <v>150</v>
      </c>
      <c r="B12" s="9" t="s">
        <v>105</v>
      </c>
      <c r="C12" s="16">
        <v>46247.335416666669</v>
      </c>
      <c r="D12" s="10">
        <v>84</v>
      </c>
      <c r="E12" s="9" t="s">
        <v>109</v>
      </c>
      <c r="F12" s="9" t="s">
        <v>143</v>
      </c>
      <c r="G12" s="10">
        <v>0</v>
      </c>
      <c r="H12" s="10">
        <v>85</v>
      </c>
      <c r="I12" s="10">
        <v>0</v>
      </c>
      <c r="J12" s="10">
        <v>90</v>
      </c>
      <c r="K12" s="9" t="str">
        <f t="shared" si="0"/>
        <v>NORMAL</v>
      </c>
    </row>
    <row r="13" spans="1:11" ht="24" customHeight="1">
      <c r="A13" s="9" t="s">
        <v>151</v>
      </c>
      <c r="B13" s="9" t="s">
        <v>110</v>
      </c>
      <c r="C13" s="16">
        <v>46247.215277777781</v>
      </c>
      <c r="D13" s="10">
        <v>27.2</v>
      </c>
      <c r="E13" s="9" t="s">
        <v>113</v>
      </c>
      <c r="F13" s="9" t="s">
        <v>143</v>
      </c>
      <c r="G13" s="10">
        <v>0</v>
      </c>
      <c r="H13" s="10">
        <v>28</v>
      </c>
      <c r="I13" s="10">
        <v>0</v>
      </c>
      <c r="J13" s="10">
        <v>30</v>
      </c>
      <c r="K13" s="9" t="str">
        <f t="shared" si="0"/>
        <v>NORMAL</v>
      </c>
    </row>
    <row r="14" spans="1:11" ht="24" customHeight="1">
      <c r="A14" s="9" t="s">
        <v>152</v>
      </c>
      <c r="B14" s="9" t="s">
        <v>110</v>
      </c>
      <c r="C14" s="16">
        <v>46247.261805555558</v>
      </c>
      <c r="D14" s="10">
        <v>29.4</v>
      </c>
      <c r="E14" s="9" t="s">
        <v>113</v>
      </c>
      <c r="F14" s="9" t="s">
        <v>143</v>
      </c>
      <c r="G14" s="10">
        <v>0</v>
      </c>
      <c r="H14" s="10">
        <v>28</v>
      </c>
      <c r="I14" s="10">
        <v>0</v>
      </c>
      <c r="J14" s="10">
        <v>30</v>
      </c>
      <c r="K14" s="9" t="str">
        <f t="shared" si="0"/>
        <v>WARNING</v>
      </c>
    </row>
    <row r="15" spans="1:11" ht="24" customHeight="1">
      <c r="A15" s="9" t="s">
        <v>153</v>
      </c>
      <c r="B15" s="9" t="s">
        <v>110</v>
      </c>
      <c r="C15" s="16">
        <v>46247.308333333334</v>
      </c>
      <c r="D15" s="10">
        <v>30.5</v>
      </c>
      <c r="E15" s="9" t="s">
        <v>113</v>
      </c>
      <c r="F15" s="9" t="s">
        <v>143</v>
      </c>
      <c r="G15" s="10">
        <v>0</v>
      </c>
      <c r="H15" s="10">
        <v>28</v>
      </c>
      <c r="I15" s="10">
        <v>0</v>
      </c>
      <c r="J15" s="10">
        <v>30</v>
      </c>
      <c r="K15" s="9" t="str">
        <f t="shared" si="0"/>
        <v>CRITICAL</v>
      </c>
    </row>
    <row r="16" spans="1:11" ht="24" customHeight="1">
      <c r="A16" s="9" t="s">
        <v>154</v>
      </c>
      <c r="B16" s="9" t="s">
        <v>110</v>
      </c>
      <c r="C16" s="16">
        <v>46247.354861111111</v>
      </c>
      <c r="D16" s="10">
        <v>28.1</v>
      </c>
      <c r="E16" s="9" t="s">
        <v>113</v>
      </c>
      <c r="F16" s="9" t="s">
        <v>143</v>
      </c>
      <c r="G16" s="10">
        <v>0</v>
      </c>
      <c r="H16" s="10">
        <v>28</v>
      </c>
      <c r="I16" s="10">
        <v>0</v>
      </c>
      <c r="J16" s="10">
        <v>30</v>
      </c>
      <c r="K16" s="9" t="str">
        <f t="shared" si="0"/>
        <v>WARNING</v>
      </c>
    </row>
    <row r="17" spans="1:11" ht="24" customHeight="1">
      <c r="A17" s="9" t="s">
        <v>155</v>
      </c>
      <c r="B17" s="9" t="s">
        <v>114</v>
      </c>
      <c r="C17" s="16">
        <v>46247.234722222223</v>
      </c>
      <c r="D17" s="10">
        <v>0</v>
      </c>
      <c r="E17" s="9" t="s">
        <v>116</v>
      </c>
      <c r="F17" s="9" t="s">
        <v>143</v>
      </c>
      <c r="G17" s="10">
        <v>0</v>
      </c>
      <c r="H17" s="10">
        <v>10</v>
      </c>
      <c r="I17" s="10">
        <v>0</v>
      </c>
      <c r="J17" s="10">
        <v>20</v>
      </c>
      <c r="K17" s="9" t="str">
        <f t="shared" si="0"/>
        <v>NORMAL</v>
      </c>
    </row>
    <row r="18" spans="1:11" ht="24" customHeight="1">
      <c r="A18" s="9" t="s">
        <v>156</v>
      </c>
      <c r="B18" s="9" t="s">
        <v>114</v>
      </c>
      <c r="C18" s="16">
        <v>46247.28125</v>
      </c>
      <c r="D18" s="10">
        <v>5</v>
      </c>
      <c r="E18" s="9" t="s">
        <v>116</v>
      </c>
      <c r="F18" s="9" t="s">
        <v>143</v>
      </c>
      <c r="G18" s="10">
        <v>0</v>
      </c>
      <c r="H18" s="10">
        <v>10</v>
      </c>
      <c r="I18" s="10">
        <v>0</v>
      </c>
      <c r="J18" s="10">
        <v>20</v>
      </c>
      <c r="K18" s="9" t="str">
        <f t="shared" si="0"/>
        <v>NORMAL</v>
      </c>
    </row>
    <row r="19" spans="1:11" ht="24" customHeight="1">
      <c r="A19" s="9" t="s">
        <v>157</v>
      </c>
      <c r="B19" s="9" t="s">
        <v>114</v>
      </c>
      <c r="C19" s="16">
        <v>46247.327777777777</v>
      </c>
      <c r="D19" s="10">
        <v>22</v>
      </c>
      <c r="E19" s="9" t="s">
        <v>116</v>
      </c>
      <c r="F19" s="9" t="s">
        <v>143</v>
      </c>
      <c r="G19" s="10">
        <v>0</v>
      </c>
      <c r="H19" s="10">
        <v>10</v>
      </c>
      <c r="I19" s="10">
        <v>0</v>
      </c>
      <c r="J19" s="10">
        <v>20</v>
      </c>
      <c r="K19" s="9" t="str">
        <f t="shared" si="0"/>
        <v>CRITICAL</v>
      </c>
    </row>
    <row r="20" spans="1:11" ht="24" customHeight="1">
      <c r="A20" s="9" t="s">
        <v>158</v>
      </c>
      <c r="B20" s="9" t="s">
        <v>114</v>
      </c>
      <c r="C20" s="16">
        <v>46247.374305555553</v>
      </c>
      <c r="D20" s="10">
        <v>2</v>
      </c>
      <c r="E20" s="9" t="s">
        <v>116</v>
      </c>
      <c r="F20" s="9" t="s">
        <v>143</v>
      </c>
      <c r="G20" s="10">
        <v>0</v>
      </c>
      <c r="H20" s="10">
        <v>10</v>
      </c>
      <c r="I20" s="10">
        <v>0</v>
      </c>
      <c r="J20" s="10">
        <v>20</v>
      </c>
      <c r="K20" s="9" t="str">
        <f t="shared" si="0"/>
        <v>NORMAL</v>
      </c>
    </row>
    <row r="21" spans="1:11" ht="24" customHeight="1">
      <c r="A21" s="9" t="s">
        <v>159</v>
      </c>
      <c r="B21" s="9" t="s">
        <v>117</v>
      </c>
      <c r="C21" s="16">
        <v>46247.212500000001</v>
      </c>
      <c r="D21" s="10">
        <v>20.9</v>
      </c>
      <c r="E21" s="9" t="s">
        <v>121</v>
      </c>
      <c r="F21" s="9" t="s">
        <v>143</v>
      </c>
      <c r="G21" s="10">
        <v>20</v>
      </c>
      <c r="H21" s="10">
        <v>23</v>
      </c>
      <c r="I21" s="10">
        <v>19.5</v>
      </c>
      <c r="J21" s="10">
        <v>23.5</v>
      </c>
      <c r="K21" s="9" t="str">
        <f t="shared" si="0"/>
        <v>NORMAL</v>
      </c>
    </row>
    <row r="22" spans="1:11" ht="24" customHeight="1">
      <c r="A22" s="9" t="s">
        <v>160</v>
      </c>
      <c r="B22" s="9" t="s">
        <v>117</v>
      </c>
      <c r="C22" s="16">
        <v>46247.259027777778</v>
      </c>
      <c r="D22" s="10">
        <v>19.2</v>
      </c>
      <c r="E22" s="9" t="s">
        <v>121</v>
      </c>
      <c r="F22" s="9" t="s">
        <v>143</v>
      </c>
      <c r="G22" s="10">
        <v>20</v>
      </c>
      <c r="H22" s="10">
        <v>23</v>
      </c>
      <c r="I22" s="10">
        <v>19.5</v>
      </c>
      <c r="J22" s="10">
        <v>23.5</v>
      </c>
      <c r="K22" s="9" t="str">
        <f t="shared" si="0"/>
        <v>CRITICAL</v>
      </c>
    </row>
    <row r="23" spans="1:11" ht="24" customHeight="1">
      <c r="A23" s="9" t="s">
        <v>161</v>
      </c>
      <c r="B23" s="9" t="s">
        <v>117</v>
      </c>
      <c r="C23" s="16">
        <v>46247.305555555555</v>
      </c>
      <c r="D23" s="10">
        <v>18.2</v>
      </c>
      <c r="E23" s="9" t="s">
        <v>121</v>
      </c>
      <c r="F23" s="9" t="s">
        <v>143</v>
      </c>
      <c r="G23" s="10">
        <v>20</v>
      </c>
      <c r="H23" s="10">
        <v>23</v>
      </c>
      <c r="I23" s="10">
        <v>19.5</v>
      </c>
      <c r="J23" s="10">
        <v>23.5</v>
      </c>
      <c r="K23" s="9" t="str">
        <f t="shared" si="0"/>
        <v>CRITICAL</v>
      </c>
    </row>
    <row r="24" spans="1:11" ht="24" customHeight="1">
      <c r="A24" s="9" t="s">
        <v>162</v>
      </c>
      <c r="B24" s="9" t="s">
        <v>117</v>
      </c>
      <c r="C24" s="16">
        <v>46247.352083333331</v>
      </c>
      <c r="D24" s="10">
        <v>20.100000000000001</v>
      </c>
      <c r="E24" s="9" t="s">
        <v>121</v>
      </c>
      <c r="F24" s="9" t="s">
        <v>143</v>
      </c>
      <c r="G24" s="10">
        <v>20</v>
      </c>
      <c r="H24" s="10">
        <v>23</v>
      </c>
      <c r="I24" s="10">
        <v>19.5</v>
      </c>
      <c r="J24" s="10">
        <v>23.5</v>
      </c>
      <c r="K24" s="9" t="str">
        <f t="shared" si="0"/>
        <v>NORMAL</v>
      </c>
    </row>
    <row r="25" spans="1:11" ht="24" customHeight="1">
      <c r="A25" s="9" t="s">
        <v>163</v>
      </c>
      <c r="B25" s="9" t="s">
        <v>122</v>
      </c>
      <c r="C25" s="16">
        <v>46247.231944444444</v>
      </c>
      <c r="D25" s="10">
        <v>21</v>
      </c>
      <c r="E25" s="9" t="s">
        <v>126</v>
      </c>
      <c r="F25" s="9" t="s">
        <v>143</v>
      </c>
      <c r="G25" s="10">
        <v>0</v>
      </c>
      <c r="H25" s="10">
        <v>25</v>
      </c>
      <c r="I25" s="10">
        <v>0</v>
      </c>
      <c r="J25" s="10">
        <v>35</v>
      </c>
      <c r="K25" s="9" t="str">
        <f t="shared" si="0"/>
        <v>NORMAL</v>
      </c>
    </row>
    <row r="26" spans="1:11" ht="24" customHeight="1">
      <c r="A26" s="9" t="s">
        <v>164</v>
      </c>
      <c r="B26" s="9" t="s">
        <v>122</v>
      </c>
      <c r="C26" s="16">
        <v>46247.27847222222</v>
      </c>
      <c r="D26" s="10">
        <v>28</v>
      </c>
      <c r="E26" s="9" t="s">
        <v>126</v>
      </c>
      <c r="F26" s="9" t="s">
        <v>143</v>
      </c>
      <c r="G26" s="10">
        <v>0</v>
      </c>
      <c r="H26" s="10">
        <v>25</v>
      </c>
      <c r="I26" s="10">
        <v>0</v>
      </c>
      <c r="J26" s="10">
        <v>35</v>
      </c>
      <c r="K26" s="9" t="str">
        <f t="shared" si="0"/>
        <v>WARNING</v>
      </c>
    </row>
    <row r="27" spans="1:11" ht="24" customHeight="1">
      <c r="A27" s="9" t="s">
        <v>165</v>
      </c>
      <c r="B27" s="9" t="s">
        <v>122</v>
      </c>
      <c r="C27" s="16">
        <v>46247.324999999997</v>
      </c>
      <c r="D27" s="10">
        <v>38</v>
      </c>
      <c r="E27" s="9" t="s">
        <v>126</v>
      </c>
      <c r="F27" s="9" t="s">
        <v>143</v>
      </c>
      <c r="G27" s="10">
        <v>0</v>
      </c>
      <c r="H27" s="10">
        <v>25</v>
      </c>
      <c r="I27" s="10">
        <v>0</v>
      </c>
      <c r="J27" s="10">
        <v>35</v>
      </c>
      <c r="K27" s="9" t="str">
        <f t="shared" si="0"/>
        <v>CRITICAL</v>
      </c>
    </row>
    <row r="28" spans="1:11" ht="24" customHeight="1">
      <c r="A28" s="9" t="s">
        <v>166</v>
      </c>
      <c r="B28" s="9" t="s">
        <v>122</v>
      </c>
      <c r="C28" s="16">
        <v>46247.371527777781</v>
      </c>
      <c r="D28" s="10">
        <v>19</v>
      </c>
      <c r="E28" s="9" t="s">
        <v>126</v>
      </c>
      <c r="F28" s="9" t="s">
        <v>143</v>
      </c>
      <c r="G28" s="10">
        <v>0</v>
      </c>
      <c r="H28" s="10">
        <v>25</v>
      </c>
      <c r="I28" s="10">
        <v>0</v>
      </c>
      <c r="J28" s="10">
        <v>35</v>
      </c>
      <c r="K28" s="9" t="str">
        <f t="shared" si="0"/>
        <v>NORMAL</v>
      </c>
    </row>
    <row r="29" spans="1:11" ht="24" customHeight="1">
      <c r="A29" s="9" t="s">
        <v>167</v>
      </c>
      <c r="B29" s="9" t="s">
        <v>127</v>
      </c>
      <c r="C29" s="16">
        <v>46247.209722222222</v>
      </c>
      <c r="D29" s="10">
        <v>23.5</v>
      </c>
      <c r="E29" s="9" t="s">
        <v>113</v>
      </c>
      <c r="F29" s="9" t="s">
        <v>143</v>
      </c>
      <c r="G29" s="10">
        <v>18</v>
      </c>
      <c r="H29" s="10">
        <v>27</v>
      </c>
      <c r="I29" s="10">
        <v>15</v>
      </c>
      <c r="J29" s="10">
        <v>30</v>
      </c>
      <c r="K29" s="9" t="str">
        <f t="shared" si="0"/>
        <v>NORMAL</v>
      </c>
    </row>
    <row r="30" spans="1:11" ht="24" customHeight="1">
      <c r="A30" s="9" t="s">
        <v>168</v>
      </c>
      <c r="B30" s="9" t="s">
        <v>127</v>
      </c>
      <c r="C30" s="16">
        <v>46247.256249999999</v>
      </c>
      <c r="D30" s="10">
        <v>26.8</v>
      </c>
      <c r="E30" s="9" t="s">
        <v>113</v>
      </c>
      <c r="F30" s="9" t="s">
        <v>143</v>
      </c>
      <c r="G30" s="10">
        <v>18</v>
      </c>
      <c r="H30" s="10">
        <v>27</v>
      </c>
      <c r="I30" s="10">
        <v>15</v>
      </c>
      <c r="J30" s="10">
        <v>30</v>
      </c>
      <c r="K30" s="9" t="str">
        <f t="shared" si="0"/>
        <v>NORMAL</v>
      </c>
    </row>
    <row r="31" spans="1:11" ht="24" customHeight="1">
      <c r="A31" s="9" t="s">
        <v>169</v>
      </c>
      <c r="B31" s="9" t="s">
        <v>127</v>
      </c>
      <c r="C31" s="16">
        <v>46247.302777777775</v>
      </c>
      <c r="D31" s="10">
        <v>31.2</v>
      </c>
      <c r="E31" s="9" t="s">
        <v>113</v>
      </c>
      <c r="F31" s="9" t="s">
        <v>143</v>
      </c>
      <c r="G31" s="10">
        <v>18</v>
      </c>
      <c r="H31" s="10">
        <v>27</v>
      </c>
      <c r="I31" s="10">
        <v>15</v>
      </c>
      <c r="J31" s="10">
        <v>30</v>
      </c>
      <c r="K31" s="9" t="str">
        <f t="shared" si="0"/>
        <v>CRITICAL</v>
      </c>
    </row>
    <row r="32" spans="1:11" ht="24" customHeight="1">
      <c r="A32" s="9" t="s">
        <v>170</v>
      </c>
      <c r="B32" s="9" t="s">
        <v>127</v>
      </c>
      <c r="C32" s="16">
        <v>46247.349305555559</v>
      </c>
      <c r="D32" s="10">
        <v>24.1</v>
      </c>
      <c r="E32" s="9" t="s">
        <v>113</v>
      </c>
      <c r="F32" s="9" t="s">
        <v>143</v>
      </c>
      <c r="G32" s="10">
        <v>18</v>
      </c>
      <c r="H32" s="10">
        <v>27</v>
      </c>
      <c r="I32" s="10">
        <v>15</v>
      </c>
      <c r="J32" s="10">
        <v>30</v>
      </c>
      <c r="K32" s="9" t="str">
        <f t="shared" si="0"/>
        <v>NORMAL</v>
      </c>
    </row>
    <row r="33" spans="1:11" ht="24" customHeight="1">
      <c r="A33" s="9" t="s">
        <v>171</v>
      </c>
      <c r="B33" s="9" t="s">
        <v>131</v>
      </c>
      <c r="C33" s="16">
        <v>46247.229166666664</v>
      </c>
      <c r="D33" s="10">
        <v>0.1</v>
      </c>
      <c r="E33" s="9" t="s">
        <v>116</v>
      </c>
      <c r="F33" s="9" t="s">
        <v>143</v>
      </c>
      <c r="G33" s="10">
        <v>0</v>
      </c>
      <c r="H33" s="10">
        <v>0.5</v>
      </c>
      <c r="I33" s="10">
        <v>0</v>
      </c>
      <c r="J33" s="10">
        <v>1</v>
      </c>
      <c r="K33" s="9" t="str">
        <f t="shared" si="0"/>
        <v>NORMAL</v>
      </c>
    </row>
    <row r="34" spans="1:11" ht="24" customHeight="1">
      <c r="A34" s="9" t="s">
        <v>172</v>
      </c>
      <c r="B34" s="9" t="s">
        <v>131</v>
      </c>
      <c r="C34" s="16">
        <v>46247.275694444441</v>
      </c>
      <c r="D34" s="10">
        <v>0.4</v>
      </c>
      <c r="E34" s="9" t="s">
        <v>116</v>
      </c>
      <c r="F34" s="9" t="s">
        <v>143</v>
      </c>
      <c r="G34" s="10">
        <v>0</v>
      </c>
      <c r="H34" s="10">
        <v>0.5</v>
      </c>
      <c r="I34" s="10">
        <v>0</v>
      </c>
      <c r="J34" s="10">
        <v>1</v>
      </c>
      <c r="K34" s="9" t="str">
        <f t="shared" si="0"/>
        <v>NORMAL</v>
      </c>
    </row>
    <row r="35" spans="1:11" ht="24" customHeight="1">
      <c r="A35" s="9" t="s">
        <v>173</v>
      </c>
      <c r="B35" s="9" t="s">
        <v>131</v>
      </c>
      <c r="C35" s="16">
        <v>46247.322222222225</v>
      </c>
      <c r="D35" s="10">
        <v>1.1000000000000001</v>
      </c>
      <c r="E35" s="9" t="s">
        <v>116</v>
      </c>
      <c r="F35" s="9" t="s">
        <v>143</v>
      </c>
      <c r="G35" s="10">
        <v>0</v>
      </c>
      <c r="H35" s="10">
        <v>0.5</v>
      </c>
      <c r="I35" s="10">
        <v>0</v>
      </c>
      <c r="J35" s="10">
        <v>1</v>
      </c>
      <c r="K35" s="9" t="str">
        <f t="shared" si="0"/>
        <v>CRITICAL</v>
      </c>
    </row>
    <row r="36" spans="1:11" ht="24" customHeight="1">
      <c r="A36" s="12" t="s">
        <v>174</v>
      </c>
      <c r="B36" s="12" t="s">
        <v>131</v>
      </c>
      <c r="C36" s="17">
        <v>46247.368750000001</v>
      </c>
      <c r="D36" s="13">
        <v>0.2</v>
      </c>
      <c r="E36" s="12" t="s">
        <v>116</v>
      </c>
      <c r="F36" s="12" t="s">
        <v>175</v>
      </c>
      <c r="G36" s="13">
        <v>0</v>
      </c>
      <c r="H36" s="13">
        <v>0.5</v>
      </c>
      <c r="I36" s="13">
        <v>0</v>
      </c>
      <c r="J36" s="13">
        <v>1</v>
      </c>
      <c r="K36" s="12" t="str">
        <f t="shared" si="0"/>
        <v>NORMAL</v>
      </c>
    </row>
  </sheetData>
  <mergeCells count="2">
    <mergeCell ref="A1:K1"/>
    <mergeCell ref="A2:K2"/>
  </mergeCells>
  <conditionalFormatting sqref="K5:K36">
    <cfRule type="containsText" dxfId="103" priority="1" operator="containsText" text="CRITICAL"/>
    <cfRule type="containsText" dxfId="102" priority="8" operator="containsText" text="HIGH"/>
    <cfRule type="containsText" dxfId="101" priority="17" operator="containsText" text="ACTIVE"/>
    <cfRule type="containsText" dxfId="100" priority="28" operator="containsText" text="INFO"/>
  </conditionalFormatting>
  <dataValidations count="1">
    <dataValidation type="list" sqref="F5:F36" xr:uid="{00000000-0002-0000-0300-000000000000}">
      <formula1>"GOOD,SUSPECT,BAD"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/>
  </sheetViews>
  <sheetFormatPr defaultRowHeight="13.8"/>
  <cols>
    <col min="1" max="4" width="18" customWidth="1"/>
    <col min="5" max="5" width="13" customWidth="1"/>
    <col min="6" max="6" width="18" customWidth="1"/>
    <col min="7" max="7" width="20" customWidth="1"/>
    <col min="8" max="8" width="18" customWidth="1"/>
  </cols>
  <sheetData>
    <row r="1" spans="1:8" ht="31.95" customHeight="1">
      <c r="A1" s="42" t="s">
        <v>176</v>
      </c>
      <c r="B1" s="42" t="s">
        <v>176</v>
      </c>
      <c r="C1" s="42" t="s">
        <v>176</v>
      </c>
      <c r="D1" s="42" t="s">
        <v>176</v>
      </c>
      <c r="E1" s="42" t="s">
        <v>176</v>
      </c>
      <c r="F1" s="42" t="s">
        <v>176</v>
      </c>
      <c r="G1" s="42" t="s">
        <v>176</v>
      </c>
      <c r="H1" s="42" t="s">
        <v>176</v>
      </c>
    </row>
    <row r="2" spans="1:8" ht="28.05" customHeight="1">
      <c r="A2" s="43" t="s">
        <v>177</v>
      </c>
      <c r="B2" s="43" t="s">
        <v>177</v>
      </c>
      <c r="C2" s="43" t="s">
        <v>177</v>
      </c>
      <c r="D2" s="43" t="s">
        <v>177</v>
      </c>
      <c r="E2" s="43" t="s">
        <v>177</v>
      </c>
      <c r="F2" s="43" t="s">
        <v>177</v>
      </c>
      <c r="G2" s="43" t="s">
        <v>177</v>
      </c>
      <c r="H2" s="43" t="s">
        <v>177</v>
      </c>
    </row>
    <row r="4" spans="1:8" ht="30" customHeight="1">
      <c r="A4" s="5" t="s">
        <v>178</v>
      </c>
      <c r="B4" s="5" t="s">
        <v>90</v>
      </c>
      <c r="C4" s="5" t="s">
        <v>179</v>
      </c>
      <c r="D4" s="5" t="s">
        <v>180</v>
      </c>
      <c r="E4" s="5" t="s">
        <v>181</v>
      </c>
      <c r="F4" s="5" t="s">
        <v>96</v>
      </c>
      <c r="G4" s="5" t="s">
        <v>182</v>
      </c>
      <c r="H4" s="5" t="s">
        <v>183</v>
      </c>
    </row>
    <row r="5" spans="1:8" ht="24" customHeight="1">
      <c r="A5" s="6" t="s">
        <v>184</v>
      </c>
      <c r="B5" s="6" t="s">
        <v>108</v>
      </c>
      <c r="C5" s="6" t="s">
        <v>185</v>
      </c>
      <c r="D5" s="6" t="s">
        <v>186</v>
      </c>
      <c r="E5" s="18">
        <v>24</v>
      </c>
      <c r="F5" s="6" t="s">
        <v>104</v>
      </c>
      <c r="G5" s="15">
        <v>46247.373611111114</v>
      </c>
      <c r="H5" s="6" t="s">
        <v>187</v>
      </c>
    </row>
    <row r="6" spans="1:8" ht="24" customHeight="1">
      <c r="A6" s="9" t="s">
        <v>188</v>
      </c>
      <c r="B6" s="9" t="s">
        <v>108</v>
      </c>
      <c r="C6" s="9" t="s">
        <v>189</v>
      </c>
      <c r="D6" s="9" t="s">
        <v>186</v>
      </c>
      <c r="E6" s="19">
        <v>24</v>
      </c>
      <c r="F6" s="9" t="s">
        <v>104</v>
      </c>
      <c r="G6" s="16">
        <v>46247.374305555553</v>
      </c>
      <c r="H6" s="9" t="s">
        <v>190</v>
      </c>
    </row>
    <row r="7" spans="1:8" ht="24" customHeight="1">
      <c r="A7" s="9" t="s">
        <v>191</v>
      </c>
      <c r="B7" s="9" t="s">
        <v>192</v>
      </c>
      <c r="C7" s="9" t="s">
        <v>185</v>
      </c>
      <c r="D7" s="9" t="s">
        <v>186</v>
      </c>
      <c r="E7" s="19">
        <v>24</v>
      </c>
      <c r="F7" s="9" t="s">
        <v>104</v>
      </c>
      <c r="G7" s="16">
        <v>46247.372916666667</v>
      </c>
      <c r="H7" s="9" t="s">
        <v>193</v>
      </c>
    </row>
    <row r="8" spans="1:8" ht="24" customHeight="1">
      <c r="A8" s="9" t="s">
        <v>194</v>
      </c>
      <c r="B8" s="9" t="s">
        <v>102</v>
      </c>
      <c r="C8" s="9" t="s">
        <v>195</v>
      </c>
      <c r="D8" s="9" t="s">
        <v>186</v>
      </c>
      <c r="E8" s="19">
        <v>22</v>
      </c>
      <c r="F8" s="9" t="s">
        <v>104</v>
      </c>
      <c r="G8" s="16">
        <v>46247.373611111114</v>
      </c>
      <c r="H8" s="9" t="s">
        <v>196</v>
      </c>
    </row>
    <row r="9" spans="1:8" ht="24" customHeight="1">
      <c r="A9" s="9" t="s">
        <v>197</v>
      </c>
      <c r="B9" s="9" t="s">
        <v>102</v>
      </c>
      <c r="C9" s="9" t="s">
        <v>198</v>
      </c>
      <c r="D9" s="9" t="s">
        <v>199</v>
      </c>
      <c r="E9" s="19">
        <v>24</v>
      </c>
      <c r="F9" s="9" t="s">
        <v>104</v>
      </c>
      <c r="G9" s="16">
        <v>46247.374305555553</v>
      </c>
      <c r="H9" s="9" t="s">
        <v>200</v>
      </c>
    </row>
    <row r="10" spans="1:8" ht="24" customHeight="1">
      <c r="A10" s="9" t="s">
        <v>201</v>
      </c>
      <c r="B10" s="9" t="s">
        <v>202</v>
      </c>
      <c r="C10" s="9" t="s">
        <v>185</v>
      </c>
      <c r="D10" s="9" t="s">
        <v>199</v>
      </c>
      <c r="E10" s="19">
        <v>20</v>
      </c>
      <c r="F10" s="9" t="s">
        <v>104</v>
      </c>
      <c r="G10" s="16">
        <v>46247.37222222222</v>
      </c>
      <c r="H10" s="9" t="s">
        <v>203</v>
      </c>
    </row>
    <row r="11" spans="1:8" ht="24" customHeight="1">
      <c r="A11" s="9" t="s">
        <v>204</v>
      </c>
      <c r="B11" s="9" t="s">
        <v>205</v>
      </c>
      <c r="C11" s="9" t="s">
        <v>206</v>
      </c>
      <c r="D11" s="9" t="s">
        <v>207</v>
      </c>
      <c r="E11" s="19">
        <v>25</v>
      </c>
      <c r="F11" s="9" t="s">
        <v>104</v>
      </c>
      <c r="G11" s="16">
        <v>46247.374305555553</v>
      </c>
      <c r="H11" s="9" t="s">
        <v>208</v>
      </c>
    </row>
    <row r="12" spans="1:8" ht="24" customHeight="1">
      <c r="A12" s="12" t="s">
        <v>209</v>
      </c>
      <c r="B12" s="12" t="s">
        <v>133</v>
      </c>
      <c r="C12" s="12" t="s">
        <v>210</v>
      </c>
      <c r="D12" s="12" t="s">
        <v>211</v>
      </c>
      <c r="E12" s="20">
        <v>18</v>
      </c>
      <c r="F12" s="12" t="s">
        <v>212</v>
      </c>
      <c r="G12" s="17">
        <v>46247.256944444445</v>
      </c>
      <c r="H12" s="12" t="s">
        <v>213</v>
      </c>
    </row>
  </sheetData>
  <mergeCells count="2">
    <mergeCell ref="A1:H1"/>
    <mergeCell ref="A2:H2"/>
  </mergeCells>
  <conditionalFormatting sqref="F5:F12">
    <cfRule type="containsText" dxfId="99" priority="1" operator="containsText" text="CRITICAL"/>
    <cfRule type="containsText" dxfId="98" priority="8" operator="containsText" text="HIGH"/>
    <cfRule type="containsText" dxfId="97" priority="17" operator="containsText" text="ACTIVE"/>
    <cfRule type="containsText" dxfId="96" priority="28" operator="containsText" text="INFO"/>
  </conditionalFormatting>
  <dataValidations count="1">
    <dataValidation type="list" sqref="F5:F12" xr:uid="{00000000-0002-0000-0400-000000000000}">
      <formula1>"ACTIVE,OFFLINE,MAINTENANCE"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showGridLines="0" workbookViewId="0"/>
  </sheetViews>
  <sheetFormatPr defaultRowHeight="13.8"/>
  <cols>
    <col min="1" max="1" width="18" customWidth="1"/>
    <col min="2" max="2" width="26" customWidth="1"/>
    <col min="3" max="5" width="18" customWidth="1"/>
    <col min="6" max="8" width="13" customWidth="1"/>
    <col min="9" max="9" width="18" customWidth="1"/>
    <col min="10" max="10" width="20" customWidth="1"/>
  </cols>
  <sheetData>
    <row r="1" spans="1:10" ht="31.95" customHeight="1">
      <c r="A1" s="42" t="s">
        <v>214</v>
      </c>
      <c r="B1" s="42" t="s">
        <v>214</v>
      </c>
      <c r="C1" s="42" t="s">
        <v>214</v>
      </c>
      <c r="D1" s="42" t="s">
        <v>214</v>
      </c>
      <c r="E1" s="42" t="s">
        <v>214</v>
      </c>
      <c r="F1" s="42" t="s">
        <v>214</v>
      </c>
      <c r="G1" s="42" t="s">
        <v>214</v>
      </c>
      <c r="H1" s="42" t="s">
        <v>214</v>
      </c>
      <c r="I1" s="42" t="s">
        <v>214</v>
      </c>
      <c r="J1" s="42" t="s">
        <v>214</v>
      </c>
    </row>
    <row r="2" spans="1:10" ht="28.05" customHeight="1">
      <c r="A2" s="43" t="s">
        <v>215</v>
      </c>
      <c r="B2" s="43" t="s">
        <v>215</v>
      </c>
      <c r="C2" s="43" t="s">
        <v>215</v>
      </c>
      <c r="D2" s="43" t="s">
        <v>215</v>
      </c>
      <c r="E2" s="43" t="s">
        <v>215</v>
      </c>
      <c r="F2" s="43" t="s">
        <v>215</v>
      </c>
      <c r="G2" s="43" t="s">
        <v>215</v>
      </c>
      <c r="H2" s="43" t="s">
        <v>215</v>
      </c>
      <c r="I2" s="43" t="s">
        <v>215</v>
      </c>
      <c r="J2" s="43" t="s">
        <v>215</v>
      </c>
    </row>
    <row r="4" spans="1:10" ht="30" customHeight="1">
      <c r="A4" s="5" t="s">
        <v>216</v>
      </c>
      <c r="B4" s="5" t="s">
        <v>217</v>
      </c>
      <c r="C4" s="5" t="s">
        <v>218</v>
      </c>
      <c r="D4" s="5" t="s">
        <v>219</v>
      </c>
      <c r="E4" s="5" t="s">
        <v>220</v>
      </c>
      <c r="F4" s="5" t="s">
        <v>221</v>
      </c>
      <c r="G4" s="5" t="s">
        <v>222</v>
      </c>
      <c r="H4" s="5" t="s">
        <v>223</v>
      </c>
      <c r="I4" s="5" t="s">
        <v>96</v>
      </c>
      <c r="J4" s="5" t="s">
        <v>224</v>
      </c>
    </row>
    <row r="5" spans="1:10" ht="24" customHeight="1">
      <c r="A5" s="6" t="s">
        <v>225</v>
      </c>
      <c r="B5" s="6" t="s">
        <v>226</v>
      </c>
      <c r="C5" s="6" t="s">
        <v>227</v>
      </c>
      <c r="D5" s="6" t="s">
        <v>228</v>
      </c>
      <c r="E5" s="6" t="s">
        <v>229</v>
      </c>
      <c r="F5" s="7">
        <v>0.8</v>
      </c>
      <c r="G5" s="7">
        <v>0.96099999999999997</v>
      </c>
      <c r="H5" s="7">
        <v>0.94399999999999995</v>
      </c>
      <c r="I5" s="6" t="s">
        <v>230</v>
      </c>
      <c r="J5" s="15">
        <v>46235.208333333336</v>
      </c>
    </row>
    <row r="6" spans="1:10" ht="24" customHeight="1">
      <c r="A6" s="9" t="s">
        <v>231</v>
      </c>
      <c r="B6" s="9" t="s">
        <v>232</v>
      </c>
      <c r="C6" s="9" t="s">
        <v>233</v>
      </c>
      <c r="D6" s="9" t="s">
        <v>228</v>
      </c>
      <c r="E6" s="9" t="s">
        <v>234</v>
      </c>
      <c r="F6" s="10">
        <v>0.8</v>
      </c>
      <c r="G6" s="10">
        <v>0.97399999999999998</v>
      </c>
      <c r="H6" s="10">
        <v>0.95199999999999996</v>
      </c>
      <c r="I6" s="9" t="s">
        <v>230</v>
      </c>
      <c r="J6" s="16">
        <v>46235.208333333336</v>
      </c>
    </row>
    <row r="7" spans="1:10" ht="24" customHeight="1">
      <c r="A7" s="9" t="s">
        <v>235</v>
      </c>
      <c r="B7" s="9" t="s">
        <v>236</v>
      </c>
      <c r="C7" s="9" t="s">
        <v>237</v>
      </c>
      <c r="D7" s="9" t="s">
        <v>228</v>
      </c>
      <c r="E7" s="9" t="s">
        <v>238</v>
      </c>
      <c r="F7" s="10">
        <v>0.78</v>
      </c>
      <c r="G7" s="10">
        <v>0.89700000000000002</v>
      </c>
      <c r="H7" s="10">
        <v>0.873</v>
      </c>
      <c r="I7" s="9" t="s">
        <v>230</v>
      </c>
      <c r="J7" s="16">
        <v>46235.208333333336</v>
      </c>
    </row>
    <row r="8" spans="1:10" ht="24" customHeight="1">
      <c r="A8" s="9" t="s">
        <v>239</v>
      </c>
      <c r="B8" s="9" t="s">
        <v>240</v>
      </c>
      <c r="C8" s="9" t="s">
        <v>241</v>
      </c>
      <c r="D8" s="9" t="s">
        <v>242</v>
      </c>
      <c r="E8" s="9" t="s">
        <v>243</v>
      </c>
      <c r="F8" s="10">
        <v>0.85</v>
      </c>
      <c r="G8" s="10">
        <v>0.98899999999999999</v>
      </c>
      <c r="H8" s="10">
        <v>0.97799999999999998</v>
      </c>
      <c r="I8" s="9" t="s">
        <v>230</v>
      </c>
      <c r="J8" s="16">
        <v>46235.208333333336</v>
      </c>
    </row>
    <row r="9" spans="1:10" ht="24" customHeight="1">
      <c r="A9" s="9" t="s">
        <v>244</v>
      </c>
      <c r="B9" s="9" t="s">
        <v>245</v>
      </c>
      <c r="C9" s="9" t="s">
        <v>246</v>
      </c>
      <c r="D9" s="9" t="s">
        <v>247</v>
      </c>
      <c r="E9" s="9" t="s">
        <v>248</v>
      </c>
      <c r="F9" s="10">
        <v>0.75</v>
      </c>
      <c r="G9" s="10">
        <v>0.92300000000000004</v>
      </c>
      <c r="H9" s="10">
        <v>0.90100000000000002</v>
      </c>
      <c r="I9" s="9" t="s">
        <v>230</v>
      </c>
      <c r="J9" s="16">
        <v>46235.208333333336</v>
      </c>
    </row>
    <row r="10" spans="1:10" ht="24" customHeight="1">
      <c r="A10" s="9" t="s">
        <v>249</v>
      </c>
      <c r="B10" s="9" t="s">
        <v>250</v>
      </c>
      <c r="C10" s="9" t="s">
        <v>251</v>
      </c>
      <c r="D10" s="9" t="s">
        <v>252</v>
      </c>
      <c r="E10" s="9" t="s">
        <v>253</v>
      </c>
      <c r="F10" s="10">
        <v>0.82</v>
      </c>
      <c r="G10" s="10">
        <v>0.91</v>
      </c>
      <c r="H10" s="10">
        <v>0.88400000000000001</v>
      </c>
      <c r="I10" s="9" t="s">
        <v>230</v>
      </c>
      <c r="J10" s="16">
        <v>46235.208333333336</v>
      </c>
    </row>
    <row r="11" spans="1:10" ht="24" customHeight="1">
      <c r="A11" s="9" t="s">
        <v>254</v>
      </c>
      <c r="B11" s="9" t="s">
        <v>255</v>
      </c>
      <c r="C11" s="9" t="s">
        <v>256</v>
      </c>
      <c r="D11" s="9" t="s">
        <v>257</v>
      </c>
      <c r="E11" s="9" t="s">
        <v>258</v>
      </c>
      <c r="F11" s="10">
        <v>0.8</v>
      </c>
      <c r="G11" s="10">
        <v>0.78500000000000003</v>
      </c>
      <c r="H11" s="10">
        <v>0.74199999999999999</v>
      </c>
      <c r="I11" s="9" t="s">
        <v>259</v>
      </c>
      <c r="J11" s="16"/>
    </row>
    <row r="12" spans="1:10" ht="24" customHeight="1">
      <c r="A12" s="12" t="s">
        <v>260</v>
      </c>
      <c r="B12" s="12" t="s">
        <v>261</v>
      </c>
      <c r="C12" s="12" t="s">
        <v>262</v>
      </c>
      <c r="D12" s="12" t="s">
        <v>263</v>
      </c>
      <c r="E12" s="12" t="s">
        <v>264</v>
      </c>
      <c r="F12" s="13">
        <v>0.82</v>
      </c>
      <c r="G12" s="13">
        <v>0.94599999999999995</v>
      </c>
      <c r="H12" s="13">
        <v>0.92900000000000005</v>
      </c>
      <c r="I12" s="12" t="s">
        <v>230</v>
      </c>
      <c r="J12" s="17">
        <v>46235.208333333336</v>
      </c>
    </row>
  </sheetData>
  <mergeCells count="2">
    <mergeCell ref="A1:J1"/>
    <mergeCell ref="A2:J2"/>
  </mergeCells>
  <conditionalFormatting sqref="I5:I12">
    <cfRule type="containsText" dxfId="95" priority="1" operator="containsText" text="CRITICAL"/>
    <cfRule type="containsText" dxfId="94" priority="8" operator="containsText" text="HIGH"/>
    <cfRule type="containsText" dxfId="93" priority="17" operator="containsText" text="ACTIVE"/>
    <cfRule type="containsText" dxfId="92" priority="28" operator="containsText" text="INFO"/>
  </conditionalFormatting>
  <dataValidations count="1">
    <dataValidation type="list" sqref="I5:I12" xr:uid="{00000000-0002-0000-0500-000000000000}">
      <formula1>"TRAINING,VALIDATION,DEPLOYED,RETIRED"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showGridLines="0" workbookViewId="0"/>
  </sheetViews>
  <sheetFormatPr defaultRowHeight="13.8"/>
  <cols>
    <col min="1" max="1" width="18" customWidth="1"/>
    <col min="2" max="2" width="20" customWidth="1"/>
    <col min="3" max="6" width="18" customWidth="1"/>
    <col min="7" max="7" width="13" customWidth="1"/>
    <col min="8" max="11" width="18" customWidth="1"/>
  </cols>
  <sheetData>
    <row r="1" spans="1:11" ht="31.95" customHeight="1">
      <c r="A1" s="42" t="s">
        <v>265</v>
      </c>
      <c r="B1" s="42" t="s">
        <v>265</v>
      </c>
      <c r="C1" s="42" t="s">
        <v>265</v>
      </c>
      <c r="D1" s="42" t="s">
        <v>265</v>
      </c>
      <c r="E1" s="42" t="s">
        <v>265</v>
      </c>
      <c r="F1" s="42" t="s">
        <v>265</v>
      </c>
      <c r="G1" s="42" t="s">
        <v>265</v>
      </c>
      <c r="H1" s="42" t="s">
        <v>265</v>
      </c>
      <c r="I1" s="42" t="s">
        <v>265</v>
      </c>
      <c r="J1" s="42" t="s">
        <v>265</v>
      </c>
      <c r="K1" s="42" t="s">
        <v>265</v>
      </c>
    </row>
    <row r="2" spans="1:11" ht="28.05" customHeight="1">
      <c r="A2" s="43" t="s">
        <v>266</v>
      </c>
      <c r="B2" s="43" t="s">
        <v>266</v>
      </c>
      <c r="C2" s="43" t="s">
        <v>266</v>
      </c>
      <c r="D2" s="43" t="s">
        <v>266</v>
      </c>
      <c r="E2" s="43" t="s">
        <v>266</v>
      </c>
      <c r="F2" s="43" t="s">
        <v>266</v>
      </c>
      <c r="G2" s="43" t="s">
        <v>266</v>
      </c>
      <c r="H2" s="43" t="s">
        <v>266</v>
      </c>
      <c r="I2" s="43" t="s">
        <v>266</v>
      </c>
      <c r="J2" s="43" t="s">
        <v>266</v>
      </c>
      <c r="K2" s="43" t="s">
        <v>266</v>
      </c>
    </row>
    <row r="4" spans="1:11" ht="30" customHeight="1">
      <c r="A4" s="5" t="s">
        <v>267</v>
      </c>
      <c r="B4" s="5" t="s">
        <v>268</v>
      </c>
      <c r="C4" s="5" t="s">
        <v>269</v>
      </c>
      <c r="D4" s="5" t="s">
        <v>178</v>
      </c>
      <c r="E4" s="5" t="s">
        <v>90</v>
      </c>
      <c r="F4" s="5" t="s">
        <v>270</v>
      </c>
      <c r="G4" s="5" t="s">
        <v>271</v>
      </c>
      <c r="H4" s="5" t="s">
        <v>272</v>
      </c>
      <c r="I4" s="5" t="s">
        <v>96</v>
      </c>
      <c r="J4" s="5" t="s">
        <v>273</v>
      </c>
      <c r="K4" s="5" t="s">
        <v>274</v>
      </c>
    </row>
    <row r="5" spans="1:11" ht="24" customHeight="1">
      <c r="A5" s="6" t="s">
        <v>275</v>
      </c>
      <c r="B5" s="15">
        <v>46247.320833333331</v>
      </c>
      <c r="C5" s="6" t="s">
        <v>276</v>
      </c>
      <c r="D5" s="6" t="s">
        <v>188</v>
      </c>
      <c r="E5" s="6" t="s">
        <v>108</v>
      </c>
      <c r="F5" s="6" t="s">
        <v>277</v>
      </c>
      <c r="G5" s="21">
        <v>0.96</v>
      </c>
      <c r="H5" s="6" t="s">
        <v>278</v>
      </c>
      <c r="I5" s="6" t="s">
        <v>279</v>
      </c>
      <c r="J5" s="6" t="s">
        <v>280</v>
      </c>
      <c r="K5" s="6"/>
    </row>
    <row r="6" spans="1:11" ht="24" customHeight="1">
      <c r="A6" s="9" t="s">
        <v>281</v>
      </c>
      <c r="B6" s="16">
        <v>46247.318749999999</v>
      </c>
      <c r="C6" s="9" t="s">
        <v>276</v>
      </c>
      <c r="D6" s="9" t="s">
        <v>191</v>
      </c>
      <c r="E6" s="9" t="s">
        <v>192</v>
      </c>
      <c r="F6" s="9" t="s">
        <v>282</v>
      </c>
      <c r="G6" s="22">
        <v>0.94</v>
      </c>
      <c r="H6" s="9" t="s">
        <v>283</v>
      </c>
      <c r="I6" s="9" t="s">
        <v>284</v>
      </c>
      <c r="J6" s="9" t="s">
        <v>285</v>
      </c>
      <c r="K6" s="9"/>
    </row>
    <row r="7" spans="1:11" ht="24" customHeight="1">
      <c r="A7" s="9" t="s">
        <v>286</v>
      </c>
      <c r="B7" s="16">
        <v>46247.316666666666</v>
      </c>
      <c r="C7" s="9" t="s">
        <v>287</v>
      </c>
      <c r="D7" s="9" t="s">
        <v>197</v>
      </c>
      <c r="E7" s="9" t="s">
        <v>102</v>
      </c>
      <c r="F7" s="9"/>
      <c r="G7" s="22">
        <v>0.93</v>
      </c>
      <c r="H7" s="9" t="s">
        <v>278</v>
      </c>
      <c r="I7" s="9" t="s">
        <v>279</v>
      </c>
      <c r="J7" s="9" t="s">
        <v>288</v>
      </c>
      <c r="K7" s="9"/>
    </row>
    <row r="8" spans="1:11" ht="24" customHeight="1">
      <c r="A8" s="9" t="s">
        <v>289</v>
      </c>
      <c r="B8" s="16">
        <v>46247.314583333333</v>
      </c>
      <c r="C8" s="9" t="s">
        <v>276</v>
      </c>
      <c r="D8" s="9" t="s">
        <v>184</v>
      </c>
      <c r="E8" s="9" t="s">
        <v>108</v>
      </c>
      <c r="F8" s="9" t="s">
        <v>290</v>
      </c>
      <c r="G8" s="22">
        <v>0.91</v>
      </c>
      <c r="H8" s="9" t="s">
        <v>283</v>
      </c>
      <c r="I8" s="9" t="s">
        <v>284</v>
      </c>
      <c r="J8" s="9" t="s">
        <v>291</v>
      </c>
      <c r="K8" s="9"/>
    </row>
    <row r="9" spans="1:11" ht="24" customHeight="1">
      <c r="A9" s="9" t="s">
        <v>292</v>
      </c>
      <c r="B9" s="16">
        <v>46247.270833333336</v>
      </c>
      <c r="C9" s="9" t="s">
        <v>206</v>
      </c>
      <c r="D9" s="9" t="s">
        <v>204</v>
      </c>
      <c r="E9" s="9" t="s">
        <v>205</v>
      </c>
      <c r="F9" s="9" t="s">
        <v>293</v>
      </c>
      <c r="G9" s="22">
        <v>0.89</v>
      </c>
      <c r="H9" s="9" t="s">
        <v>278</v>
      </c>
      <c r="I9" s="9" t="s">
        <v>284</v>
      </c>
      <c r="J9" s="9" t="s">
        <v>294</v>
      </c>
      <c r="K9" s="9"/>
    </row>
    <row r="10" spans="1:11" ht="24" customHeight="1">
      <c r="A10" s="9" t="s">
        <v>295</v>
      </c>
      <c r="B10" s="16">
        <v>46247.268750000003</v>
      </c>
      <c r="C10" s="9" t="s">
        <v>287</v>
      </c>
      <c r="D10" s="9" t="s">
        <v>201</v>
      </c>
      <c r="E10" s="9" t="s">
        <v>202</v>
      </c>
      <c r="F10" s="9" t="s">
        <v>296</v>
      </c>
      <c r="G10" s="22">
        <v>0.97</v>
      </c>
      <c r="H10" s="9" t="s">
        <v>81</v>
      </c>
      <c r="I10" s="9" t="s">
        <v>279</v>
      </c>
      <c r="J10" s="9" t="s">
        <v>297</v>
      </c>
      <c r="K10" s="9"/>
    </row>
    <row r="11" spans="1:11" ht="24" customHeight="1">
      <c r="A11" s="9" t="s">
        <v>298</v>
      </c>
      <c r="B11" s="16">
        <v>46247.26666666667</v>
      </c>
      <c r="C11" s="9" t="s">
        <v>276</v>
      </c>
      <c r="D11" s="9" t="s">
        <v>194</v>
      </c>
      <c r="E11" s="9" t="s">
        <v>102</v>
      </c>
      <c r="F11" s="9" t="s">
        <v>296</v>
      </c>
      <c r="G11" s="22">
        <v>0.95</v>
      </c>
      <c r="H11" s="9" t="s">
        <v>278</v>
      </c>
      <c r="I11" s="9" t="s">
        <v>284</v>
      </c>
      <c r="J11" s="9" t="s">
        <v>299</v>
      </c>
      <c r="K11" s="9"/>
    </row>
    <row r="12" spans="1:11" ht="24" customHeight="1">
      <c r="A12" s="9" t="s">
        <v>300</v>
      </c>
      <c r="B12" s="16">
        <v>46247.26458333333</v>
      </c>
      <c r="C12" s="9" t="s">
        <v>301</v>
      </c>
      <c r="D12" s="9" t="s">
        <v>197</v>
      </c>
      <c r="E12" s="9" t="s">
        <v>102</v>
      </c>
      <c r="F12" s="9" t="s">
        <v>302</v>
      </c>
      <c r="G12" s="22">
        <v>0.82</v>
      </c>
      <c r="H12" s="9" t="s">
        <v>81</v>
      </c>
      <c r="I12" s="9" t="s">
        <v>303</v>
      </c>
      <c r="J12" s="9" t="s">
        <v>304</v>
      </c>
      <c r="K12" s="9"/>
    </row>
    <row r="13" spans="1:11" ht="24" customHeight="1">
      <c r="A13" s="9" t="s">
        <v>305</v>
      </c>
      <c r="B13" s="16">
        <v>46247.220833333333</v>
      </c>
      <c r="C13" s="9" t="s">
        <v>306</v>
      </c>
      <c r="D13" s="9" t="s">
        <v>188</v>
      </c>
      <c r="E13" s="9" t="s">
        <v>108</v>
      </c>
      <c r="F13" s="9"/>
      <c r="G13" s="22">
        <v>0.88</v>
      </c>
      <c r="H13" s="9" t="s">
        <v>81</v>
      </c>
      <c r="I13" s="9" t="s">
        <v>284</v>
      </c>
      <c r="J13" s="9" t="s">
        <v>307</v>
      </c>
      <c r="K13" s="9"/>
    </row>
    <row r="14" spans="1:11" ht="24" customHeight="1">
      <c r="A14" s="9" t="s">
        <v>308</v>
      </c>
      <c r="B14" s="16">
        <v>46247.21875</v>
      </c>
      <c r="C14" s="9" t="s">
        <v>309</v>
      </c>
      <c r="D14" s="9" t="s">
        <v>209</v>
      </c>
      <c r="E14" s="9" t="s">
        <v>133</v>
      </c>
      <c r="F14" s="9"/>
      <c r="G14" s="22">
        <v>0.79</v>
      </c>
      <c r="H14" s="9" t="s">
        <v>283</v>
      </c>
      <c r="I14" s="9" t="s">
        <v>310</v>
      </c>
      <c r="J14" s="9" t="s">
        <v>311</v>
      </c>
      <c r="K14" s="9"/>
    </row>
    <row r="15" spans="1:11" ht="24" customHeight="1">
      <c r="A15" s="9" t="s">
        <v>312</v>
      </c>
      <c r="B15" s="16">
        <v>46247.216666666667</v>
      </c>
      <c r="C15" s="9" t="s">
        <v>276</v>
      </c>
      <c r="D15" s="9" t="s">
        <v>188</v>
      </c>
      <c r="E15" s="9" t="s">
        <v>108</v>
      </c>
      <c r="F15" s="9" t="s">
        <v>277</v>
      </c>
      <c r="G15" s="22">
        <v>0.93</v>
      </c>
      <c r="H15" s="9" t="s">
        <v>278</v>
      </c>
      <c r="I15" s="9" t="s">
        <v>284</v>
      </c>
      <c r="J15" s="9" t="s">
        <v>313</v>
      </c>
      <c r="K15" s="9"/>
    </row>
    <row r="16" spans="1:11" ht="24" customHeight="1">
      <c r="A16" s="9" t="s">
        <v>314</v>
      </c>
      <c r="B16" s="16">
        <v>46247.214583333334</v>
      </c>
      <c r="C16" s="9" t="s">
        <v>276</v>
      </c>
      <c r="D16" s="9" t="s">
        <v>188</v>
      </c>
      <c r="E16" s="9" t="s">
        <v>108</v>
      </c>
      <c r="F16" s="9" t="s">
        <v>277</v>
      </c>
      <c r="G16" s="22">
        <v>0.92</v>
      </c>
      <c r="H16" s="9" t="s">
        <v>278</v>
      </c>
      <c r="I16" s="9" t="s">
        <v>279</v>
      </c>
      <c r="J16" s="9" t="s">
        <v>315</v>
      </c>
      <c r="K16" s="9" t="s">
        <v>316</v>
      </c>
    </row>
    <row r="17" spans="1:11" ht="24" customHeight="1">
      <c r="A17" s="9" t="s">
        <v>317</v>
      </c>
      <c r="B17" s="16">
        <v>46247.17083333333</v>
      </c>
      <c r="C17" s="9" t="s">
        <v>287</v>
      </c>
      <c r="D17" s="9" t="s">
        <v>201</v>
      </c>
      <c r="E17" s="9" t="s">
        <v>202</v>
      </c>
      <c r="F17" s="9" t="s">
        <v>318</v>
      </c>
      <c r="G17" s="22">
        <v>0.9</v>
      </c>
      <c r="H17" s="9" t="s">
        <v>283</v>
      </c>
      <c r="I17" s="9" t="s">
        <v>284</v>
      </c>
      <c r="J17" s="9" t="s">
        <v>319</v>
      </c>
      <c r="K17" s="9"/>
    </row>
    <row r="18" spans="1:11" ht="24" customHeight="1">
      <c r="A18" s="9" t="s">
        <v>320</v>
      </c>
      <c r="B18" s="16">
        <v>46247.168749999997</v>
      </c>
      <c r="C18" s="9" t="s">
        <v>206</v>
      </c>
      <c r="D18" s="9" t="s">
        <v>204</v>
      </c>
      <c r="E18" s="9" t="s">
        <v>205</v>
      </c>
      <c r="F18" s="9" t="s">
        <v>321</v>
      </c>
      <c r="G18" s="22">
        <v>0.86</v>
      </c>
      <c r="H18" s="9" t="s">
        <v>278</v>
      </c>
      <c r="I18" s="9" t="s">
        <v>284</v>
      </c>
      <c r="J18" s="9" t="s">
        <v>322</v>
      </c>
      <c r="K18" s="9"/>
    </row>
    <row r="19" spans="1:11" ht="24" customHeight="1">
      <c r="A19" s="9" t="s">
        <v>323</v>
      </c>
      <c r="B19" s="16">
        <v>46247.166666666664</v>
      </c>
      <c r="C19" s="9" t="s">
        <v>276</v>
      </c>
      <c r="D19" s="9" t="s">
        <v>191</v>
      </c>
      <c r="E19" s="9" t="s">
        <v>192</v>
      </c>
      <c r="F19" s="9" t="s">
        <v>324</v>
      </c>
      <c r="G19" s="22">
        <v>0.89</v>
      </c>
      <c r="H19" s="9" t="s">
        <v>283</v>
      </c>
      <c r="I19" s="9" t="s">
        <v>279</v>
      </c>
      <c r="J19" s="9" t="s">
        <v>325</v>
      </c>
      <c r="K19" s="9"/>
    </row>
    <row r="20" spans="1:11" ht="24" customHeight="1">
      <c r="A20" s="9" t="s">
        <v>326</v>
      </c>
      <c r="B20" s="16">
        <v>46247.206250000003</v>
      </c>
      <c r="C20" s="9" t="s">
        <v>327</v>
      </c>
      <c r="D20" s="9" t="s">
        <v>194</v>
      </c>
      <c r="E20" s="9" t="s">
        <v>102</v>
      </c>
      <c r="F20" s="9"/>
      <c r="G20" s="22">
        <v>0.84</v>
      </c>
      <c r="H20" s="9" t="s">
        <v>81</v>
      </c>
      <c r="I20" s="9" t="s">
        <v>303</v>
      </c>
      <c r="J20" s="9" t="s">
        <v>328</v>
      </c>
      <c r="K20" s="9"/>
    </row>
    <row r="21" spans="1:11" ht="24" customHeight="1">
      <c r="A21" s="9" t="s">
        <v>329</v>
      </c>
      <c r="B21" s="16">
        <v>46247.162499999999</v>
      </c>
      <c r="C21" s="9" t="s">
        <v>276</v>
      </c>
      <c r="D21" s="9" t="s">
        <v>184</v>
      </c>
      <c r="E21" s="9" t="s">
        <v>108</v>
      </c>
      <c r="F21" s="9" t="s">
        <v>330</v>
      </c>
      <c r="G21" s="22">
        <v>0.97</v>
      </c>
      <c r="H21" s="9" t="s">
        <v>278</v>
      </c>
      <c r="I21" s="9" t="s">
        <v>284</v>
      </c>
      <c r="J21" s="9" t="s">
        <v>331</v>
      </c>
      <c r="K21" s="9"/>
    </row>
    <row r="22" spans="1:11" ht="24" customHeight="1">
      <c r="A22" s="12" t="s">
        <v>332</v>
      </c>
      <c r="B22" s="17">
        <v>46247.160416666666</v>
      </c>
      <c r="C22" s="12" t="s">
        <v>287</v>
      </c>
      <c r="D22" s="12" t="s">
        <v>197</v>
      </c>
      <c r="E22" s="12" t="s">
        <v>102</v>
      </c>
      <c r="F22" s="12" t="s">
        <v>333</v>
      </c>
      <c r="G22" s="23">
        <v>0.87</v>
      </c>
      <c r="H22" s="12" t="s">
        <v>283</v>
      </c>
      <c r="I22" s="12" t="s">
        <v>284</v>
      </c>
      <c r="J22" s="12" t="s">
        <v>334</v>
      </c>
      <c r="K22" s="12"/>
    </row>
  </sheetData>
  <mergeCells count="2">
    <mergeCell ref="A1:K1"/>
    <mergeCell ref="A2:K2"/>
  </mergeCells>
  <conditionalFormatting sqref="H5:H22">
    <cfRule type="containsText" dxfId="91" priority="1" operator="containsText" text="CRITICAL"/>
    <cfRule type="containsText" dxfId="90" priority="28" operator="containsText" text="INFO"/>
    <cfRule type="containsText" dxfId="89" priority="8" operator="containsText" text="HIGH"/>
    <cfRule type="containsText" dxfId="88" priority="17" operator="containsText" text="ACTIVE"/>
  </conditionalFormatting>
  <conditionalFormatting sqref="I5:I22">
    <cfRule type="containsText" dxfId="87" priority="34" operator="containsText" text="CRITICAL"/>
    <cfRule type="containsText" dxfId="86" priority="41" operator="containsText" text="HIGH"/>
    <cfRule type="containsText" dxfId="85" priority="50" operator="containsText" text="ACTIVE"/>
    <cfRule type="containsText" dxfId="84" priority="61" operator="containsText" text="INFO"/>
  </conditionalFormatting>
  <dataValidations count="2">
    <dataValidation type="list" sqref="H5:H22" xr:uid="{00000000-0002-0000-0600-000000000000}">
      <formula1>"NORMAL,MEDIUM,HIGH,CRITICAL"</formula1>
    </dataValidation>
    <dataValidation type="list" sqref="I5:I22" xr:uid="{00000000-0002-0000-0600-000001000000}">
      <formula1>"OPEN,RESOLVED,FALSE_POSITIVE,MODEL_REVIEW"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/>
  </sheetViews>
  <sheetFormatPr defaultRowHeight="13.8"/>
  <cols>
    <col min="1" max="3" width="18" customWidth="1"/>
    <col min="4" max="4" width="13" customWidth="1"/>
    <col min="5" max="5" width="18" customWidth="1"/>
    <col min="6" max="6" width="13" customWidth="1"/>
    <col min="7" max="7" width="20" customWidth="1"/>
  </cols>
  <sheetData>
    <row r="1" spans="1:7" ht="31.95" customHeight="1">
      <c r="A1" s="42" t="s">
        <v>335</v>
      </c>
      <c r="B1" s="42" t="s">
        <v>335</v>
      </c>
      <c r="C1" s="42" t="s">
        <v>335</v>
      </c>
      <c r="D1" s="42" t="s">
        <v>335</v>
      </c>
      <c r="E1" s="42" t="s">
        <v>335</v>
      </c>
      <c r="F1" s="42" t="s">
        <v>335</v>
      </c>
      <c r="G1" s="42" t="s">
        <v>335</v>
      </c>
    </row>
    <row r="2" spans="1:7" ht="28.05" customHeight="1">
      <c r="A2" s="43" t="s">
        <v>336</v>
      </c>
      <c r="B2" s="43" t="s">
        <v>336</v>
      </c>
      <c r="C2" s="43" t="s">
        <v>336</v>
      </c>
      <c r="D2" s="43" t="s">
        <v>336</v>
      </c>
      <c r="E2" s="43" t="s">
        <v>336</v>
      </c>
      <c r="F2" s="43" t="s">
        <v>336</v>
      </c>
      <c r="G2" s="43" t="s">
        <v>336</v>
      </c>
    </row>
    <row r="4" spans="1:7" ht="30" customHeight="1">
      <c r="A4" s="5" t="s">
        <v>337</v>
      </c>
      <c r="B4" s="5" t="s">
        <v>270</v>
      </c>
      <c r="C4" s="5" t="s">
        <v>338</v>
      </c>
      <c r="D4" s="5" t="s">
        <v>339</v>
      </c>
      <c r="E4" s="5" t="s">
        <v>96</v>
      </c>
      <c r="F4" s="5" t="s">
        <v>340</v>
      </c>
      <c r="G4" s="5" t="s">
        <v>182</v>
      </c>
    </row>
    <row r="5" spans="1:7" ht="24" customHeight="1">
      <c r="A5" s="6" t="s">
        <v>341</v>
      </c>
      <c r="B5" s="6" t="s">
        <v>277</v>
      </c>
      <c r="C5" s="6" t="s">
        <v>342</v>
      </c>
      <c r="D5" s="8">
        <v>46023</v>
      </c>
      <c r="E5" s="6" t="s">
        <v>104</v>
      </c>
      <c r="F5" s="18">
        <v>76</v>
      </c>
      <c r="G5" s="15">
        <v>46247.374305555553</v>
      </c>
    </row>
    <row r="6" spans="1:7" ht="24" customHeight="1">
      <c r="A6" s="9" t="s">
        <v>343</v>
      </c>
      <c r="B6" s="9" t="s">
        <v>330</v>
      </c>
      <c r="C6" s="9" t="s">
        <v>344</v>
      </c>
      <c r="D6" s="11">
        <v>46023</v>
      </c>
      <c r="E6" s="9" t="s">
        <v>104</v>
      </c>
      <c r="F6" s="19">
        <v>62</v>
      </c>
      <c r="G6" s="16">
        <v>46247.373611111114</v>
      </c>
    </row>
    <row r="7" spans="1:7" ht="24" customHeight="1">
      <c r="A7" s="9" t="s">
        <v>345</v>
      </c>
      <c r="B7" s="9" t="s">
        <v>282</v>
      </c>
      <c r="C7" s="9" t="s">
        <v>342</v>
      </c>
      <c r="D7" s="11">
        <v>46054</v>
      </c>
      <c r="E7" s="9" t="s">
        <v>104</v>
      </c>
      <c r="F7" s="19">
        <v>81</v>
      </c>
      <c r="G7" s="16">
        <v>46247.374305555553</v>
      </c>
    </row>
    <row r="8" spans="1:7" ht="24" customHeight="1">
      <c r="A8" s="9" t="s">
        <v>346</v>
      </c>
      <c r="B8" s="9" t="s">
        <v>347</v>
      </c>
      <c r="C8" s="9" t="s">
        <v>344</v>
      </c>
      <c r="D8" s="11">
        <v>46054</v>
      </c>
      <c r="E8" s="9" t="s">
        <v>104</v>
      </c>
      <c r="F8" s="19">
        <v>45</v>
      </c>
      <c r="G8" s="16">
        <v>46247.372916666667</v>
      </c>
    </row>
    <row r="9" spans="1:7" ht="24" customHeight="1">
      <c r="A9" s="9" t="s">
        <v>348</v>
      </c>
      <c r="B9" s="9" t="s">
        <v>333</v>
      </c>
      <c r="C9" s="9" t="s">
        <v>349</v>
      </c>
      <c r="D9" s="11">
        <v>46082</v>
      </c>
      <c r="E9" s="9" t="s">
        <v>104</v>
      </c>
      <c r="F9" s="19">
        <v>90</v>
      </c>
      <c r="G9" s="16">
        <v>46247.374305555553</v>
      </c>
    </row>
    <row r="10" spans="1:7" ht="24" customHeight="1">
      <c r="A10" s="9" t="s">
        <v>350</v>
      </c>
      <c r="B10" s="9" t="s">
        <v>351</v>
      </c>
      <c r="C10" s="9" t="s">
        <v>342</v>
      </c>
      <c r="D10" s="11">
        <v>46082</v>
      </c>
      <c r="E10" s="9" t="s">
        <v>104</v>
      </c>
      <c r="F10" s="19">
        <v>31</v>
      </c>
      <c r="G10" s="16">
        <v>46247.371527777781</v>
      </c>
    </row>
    <row r="11" spans="1:7" ht="24" customHeight="1">
      <c r="A11" s="9" t="s">
        <v>352</v>
      </c>
      <c r="B11" s="9" t="s">
        <v>353</v>
      </c>
      <c r="C11" s="9" t="s">
        <v>354</v>
      </c>
      <c r="D11" s="11">
        <v>46113</v>
      </c>
      <c r="E11" s="9" t="s">
        <v>104</v>
      </c>
      <c r="F11" s="19">
        <v>58</v>
      </c>
      <c r="G11" s="16">
        <v>46247.373611111114</v>
      </c>
    </row>
    <row r="12" spans="1:7" ht="24" customHeight="1">
      <c r="A12" s="9" t="s">
        <v>355</v>
      </c>
      <c r="B12" s="9" t="s">
        <v>321</v>
      </c>
      <c r="C12" s="9" t="s">
        <v>342</v>
      </c>
      <c r="D12" s="11">
        <v>46113</v>
      </c>
      <c r="E12" s="9" t="s">
        <v>104</v>
      </c>
      <c r="F12" s="19">
        <v>70</v>
      </c>
      <c r="G12" s="16">
        <v>46247.373611111114</v>
      </c>
    </row>
    <row r="13" spans="1:7" ht="24" customHeight="1">
      <c r="A13" s="9" t="s">
        <v>356</v>
      </c>
      <c r="B13" s="9" t="s">
        <v>318</v>
      </c>
      <c r="C13" s="9" t="s">
        <v>349</v>
      </c>
      <c r="D13" s="11">
        <v>46143</v>
      </c>
      <c r="E13" s="9" t="s">
        <v>357</v>
      </c>
      <c r="F13" s="19">
        <v>15</v>
      </c>
      <c r="G13" s="16">
        <v>46247.305555555555</v>
      </c>
    </row>
    <row r="14" spans="1:7" ht="24" customHeight="1">
      <c r="A14" s="12" t="s">
        <v>358</v>
      </c>
      <c r="B14" s="12" t="s">
        <v>359</v>
      </c>
      <c r="C14" s="12" t="s">
        <v>360</v>
      </c>
      <c r="D14" s="14">
        <v>46143</v>
      </c>
      <c r="E14" s="12" t="s">
        <v>104</v>
      </c>
      <c r="F14" s="20">
        <v>66</v>
      </c>
      <c r="G14" s="17">
        <v>46247.374305555553</v>
      </c>
    </row>
  </sheetData>
  <mergeCells count="2">
    <mergeCell ref="A1:G1"/>
    <mergeCell ref="A2:G2"/>
  </mergeCells>
  <conditionalFormatting sqref="E5:E14">
    <cfRule type="containsText" dxfId="83" priority="1" operator="containsText" text="CRITICAL"/>
    <cfRule type="containsText" dxfId="82" priority="8" operator="containsText" text="HIGH"/>
    <cfRule type="containsText" dxfId="81" priority="17" operator="containsText" text="ACTIVE"/>
    <cfRule type="containsText" dxfId="80" priority="28" operator="containsText" text="INFO"/>
  </conditionalFormatting>
  <dataValidations count="1">
    <dataValidation type="list" sqref="E5:E14" xr:uid="{00000000-0002-0000-0700-000000000000}">
      <formula1>"ACTIVE,CHARGING,OFFLINE,RETIRED"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showGridLines="0" workbookViewId="0"/>
  </sheetViews>
  <sheetFormatPr defaultRowHeight="13.8"/>
  <cols>
    <col min="1" max="3" width="18" customWidth="1"/>
    <col min="4" max="4" width="20" customWidth="1"/>
    <col min="5" max="5" width="18" customWidth="1"/>
    <col min="6" max="6" width="13" customWidth="1"/>
    <col min="7" max="7" width="18" customWidth="1"/>
    <col min="8" max="8" width="13" customWidth="1"/>
    <col min="9" max="11" width="18" customWidth="1"/>
  </cols>
  <sheetData>
    <row r="1" spans="1:11" ht="31.95" customHeight="1">
      <c r="A1" s="42" t="s">
        <v>361</v>
      </c>
      <c r="B1" s="42" t="s">
        <v>361</v>
      </c>
      <c r="C1" s="42" t="s">
        <v>361</v>
      </c>
      <c r="D1" s="42" t="s">
        <v>361</v>
      </c>
      <c r="E1" s="42" t="s">
        <v>361</v>
      </c>
      <c r="F1" s="42" t="s">
        <v>361</v>
      </c>
      <c r="G1" s="42" t="s">
        <v>361</v>
      </c>
      <c r="H1" s="42" t="s">
        <v>361</v>
      </c>
      <c r="I1" s="42" t="s">
        <v>361</v>
      </c>
      <c r="J1" s="42" t="s">
        <v>361</v>
      </c>
      <c r="K1" s="42" t="s">
        <v>361</v>
      </c>
    </row>
    <row r="2" spans="1:11" ht="28.05" customHeight="1">
      <c r="A2" s="43" t="s">
        <v>362</v>
      </c>
      <c r="B2" s="43" t="s">
        <v>362</v>
      </c>
      <c r="C2" s="43" t="s">
        <v>362</v>
      </c>
      <c r="D2" s="43" t="s">
        <v>362</v>
      </c>
      <c r="E2" s="43" t="s">
        <v>362</v>
      </c>
      <c r="F2" s="43" t="s">
        <v>362</v>
      </c>
      <c r="G2" s="43" t="s">
        <v>362</v>
      </c>
      <c r="H2" s="43" t="s">
        <v>362</v>
      </c>
      <c r="I2" s="43" t="s">
        <v>362</v>
      </c>
      <c r="J2" s="43" t="s">
        <v>362</v>
      </c>
      <c r="K2" s="43" t="s">
        <v>362</v>
      </c>
    </row>
    <row r="4" spans="1:11" ht="30" customHeight="1">
      <c r="A4" s="5" t="s">
        <v>363</v>
      </c>
      <c r="B4" s="5" t="s">
        <v>337</v>
      </c>
      <c r="C4" s="5" t="s">
        <v>270</v>
      </c>
      <c r="D4" s="5" t="s">
        <v>138</v>
      </c>
      <c r="E4" s="5" t="s">
        <v>364</v>
      </c>
      <c r="F4" s="5" t="s">
        <v>139</v>
      </c>
      <c r="G4" s="5" t="s">
        <v>91</v>
      </c>
      <c r="H4" s="5" t="s">
        <v>365</v>
      </c>
      <c r="I4" s="5" t="s">
        <v>272</v>
      </c>
      <c r="J4" s="5" t="s">
        <v>96</v>
      </c>
      <c r="K4" s="5" t="s">
        <v>273</v>
      </c>
    </row>
    <row r="5" spans="1:11" ht="24" customHeight="1">
      <c r="A5" s="6" t="s">
        <v>366</v>
      </c>
      <c r="B5" s="6" t="s">
        <v>341</v>
      </c>
      <c r="C5" s="6" t="s">
        <v>277</v>
      </c>
      <c r="D5" s="15">
        <v>46247.256944444445</v>
      </c>
      <c r="E5" s="6" t="s">
        <v>367</v>
      </c>
      <c r="F5" s="7">
        <v>148</v>
      </c>
      <c r="G5" s="6" t="s">
        <v>368</v>
      </c>
      <c r="H5" s="7">
        <v>130</v>
      </c>
      <c r="I5" s="6" t="s">
        <v>278</v>
      </c>
      <c r="J5" s="6" t="s">
        <v>279</v>
      </c>
      <c r="K5" s="6" t="s">
        <v>369</v>
      </c>
    </row>
    <row r="6" spans="1:11" ht="24" customHeight="1">
      <c r="A6" s="9" t="s">
        <v>370</v>
      </c>
      <c r="B6" s="9" t="s">
        <v>343</v>
      </c>
      <c r="C6" s="9" t="s">
        <v>330</v>
      </c>
      <c r="D6" s="16">
        <v>46247.301388888889</v>
      </c>
      <c r="E6" s="9" t="s">
        <v>371</v>
      </c>
      <c r="F6" s="10">
        <v>8.1999999999999993</v>
      </c>
      <c r="G6" s="9" t="s">
        <v>372</v>
      </c>
      <c r="H6" s="10">
        <v>7</v>
      </c>
      <c r="I6" s="9" t="s">
        <v>278</v>
      </c>
      <c r="J6" s="9" t="s">
        <v>279</v>
      </c>
      <c r="K6" s="9" t="s">
        <v>373</v>
      </c>
    </row>
    <row r="7" spans="1:11" ht="24" customHeight="1">
      <c r="A7" s="9" t="s">
        <v>374</v>
      </c>
      <c r="B7" s="9" t="s">
        <v>348</v>
      </c>
      <c r="C7" s="9" t="s">
        <v>333</v>
      </c>
      <c r="D7" s="16">
        <v>46247.345833333333</v>
      </c>
      <c r="E7" s="9" t="s">
        <v>301</v>
      </c>
      <c r="F7" s="10">
        <v>1</v>
      </c>
      <c r="G7" s="9" t="s">
        <v>375</v>
      </c>
      <c r="H7" s="10">
        <v>1</v>
      </c>
      <c r="I7" s="9" t="s">
        <v>81</v>
      </c>
      <c r="J7" s="9" t="s">
        <v>303</v>
      </c>
      <c r="K7" s="9" t="s">
        <v>376</v>
      </c>
    </row>
    <row r="8" spans="1:11" ht="24" customHeight="1">
      <c r="A8" s="9" t="s">
        <v>377</v>
      </c>
      <c r="B8" s="9" t="s">
        <v>352</v>
      </c>
      <c r="C8" s="9" t="s">
        <v>353</v>
      </c>
      <c r="D8" s="16">
        <v>46247.265277777777</v>
      </c>
      <c r="E8" s="9" t="s">
        <v>206</v>
      </c>
      <c r="F8" s="10">
        <v>1.8</v>
      </c>
      <c r="G8" s="9" t="s">
        <v>378</v>
      </c>
      <c r="H8" s="10">
        <v>2</v>
      </c>
      <c r="I8" s="9" t="s">
        <v>278</v>
      </c>
      <c r="J8" s="9" t="s">
        <v>284</v>
      </c>
      <c r="K8" s="9" t="s">
        <v>294</v>
      </c>
    </row>
    <row r="9" spans="1:11" ht="24" customHeight="1">
      <c r="A9" s="9" t="s">
        <v>379</v>
      </c>
      <c r="B9" s="9" t="s">
        <v>358</v>
      </c>
      <c r="C9" s="9" t="s">
        <v>359</v>
      </c>
      <c r="D9" s="16">
        <v>46247.30972222222</v>
      </c>
      <c r="E9" s="9" t="s">
        <v>118</v>
      </c>
      <c r="F9" s="10">
        <v>18.7</v>
      </c>
      <c r="G9" s="9" t="s">
        <v>121</v>
      </c>
      <c r="H9" s="10">
        <v>19.5</v>
      </c>
      <c r="I9" s="9" t="s">
        <v>81</v>
      </c>
      <c r="J9" s="9" t="s">
        <v>279</v>
      </c>
      <c r="K9" s="9" t="s">
        <v>380</v>
      </c>
    </row>
    <row r="10" spans="1:11" ht="24" customHeight="1">
      <c r="A10" s="9" t="s">
        <v>381</v>
      </c>
      <c r="B10" s="9" t="s">
        <v>345</v>
      </c>
      <c r="C10" s="9" t="s">
        <v>282</v>
      </c>
      <c r="D10" s="16">
        <v>46247.354166666664</v>
      </c>
      <c r="E10" s="9" t="s">
        <v>367</v>
      </c>
      <c r="F10" s="10">
        <v>92</v>
      </c>
      <c r="G10" s="9" t="s">
        <v>368</v>
      </c>
      <c r="H10" s="10">
        <v>130</v>
      </c>
      <c r="I10" s="9" t="s">
        <v>77</v>
      </c>
      <c r="J10" s="9" t="s">
        <v>382</v>
      </c>
      <c r="K10" s="9" t="s">
        <v>383</v>
      </c>
    </row>
    <row r="11" spans="1:11" ht="24" customHeight="1">
      <c r="A11" s="9" t="s">
        <v>384</v>
      </c>
      <c r="B11" s="9" t="s">
        <v>346</v>
      </c>
      <c r="C11" s="9" t="s">
        <v>347</v>
      </c>
      <c r="D11" s="16">
        <v>46247.273611111108</v>
      </c>
      <c r="E11" s="9" t="s">
        <v>371</v>
      </c>
      <c r="F11" s="10">
        <v>6.2</v>
      </c>
      <c r="G11" s="9" t="s">
        <v>372</v>
      </c>
      <c r="H11" s="10">
        <v>7</v>
      </c>
      <c r="I11" s="9" t="s">
        <v>79</v>
      </c>
      <c r="J11" s="9" t="s">
        <v>284</v>
      </c>
      <c r="K11" s="9" t="s">
        <v>385</v>
      </c>
    </row>
    <row r="12" spans="1:11" ht="24" customHeight="1">
      <c r="A12" s="9" t="s">
        <v>386</v>
      </c>
      <c r="B12" s="9" t="s">
        <v>350</v>
      </c>
      <c r="C12" s="9" t="s">
        <v>351</v>
      </c>
      <c r="D12" s="16">
        <v>46247.318055555559</v>
      </c>
      <c r="E12" s="9" t="s">
        <v>367</v>
      </c>
      <c r="F12" s="10">
        <v>135</v>
      </c>
      <c r="G12" s="9" t="s">
        <v>368</v>
      </c>
      <c r="H12" s="10">
        <v>130</v>
      </c>
      <c r="I12" s="9" t="s">
        <v>278</v>
      </c>
      <c r="J12" s="9" t="s">
        <v>284</v>
      </c>
      <c r="K12" s="9" t="s">
        <v>387</v>
      </c>
    </row>
    <row r="13" spans="1:11" ht="24" customHeight="1">
      <c r="A13" s="9" t="s">
        <v>388</v>
      </c>
      <c r="B13" s="9" t="s">
        <v>355</v>
      </c>
      <c r="C13" s="9" t="s">
        <v>321</v>
      </c>
      <c r="D13" s="16">
        <v>46247.362500000003</v>
      </c>
      <c r="E13" s="9" t="s">
        <v>389</v>
      </c>
      <c r="F13" s="10">
        <v>1</v>
      </c>
      <c r="G13" s="9" t="s">
        <v>375</v>
      </c>
      <c r="H13" s="10">
        <v>1</v>
      </c>
      <c r="I13" s="9" t="s">
        <v>81</v>
      </c>
      <c r="J13" s="9" t="s">
        <v>390</v>
      </c>
      <c r="K13" s="9" t="s">
        <v>391</v>
      </c>
    </row>
    <row r="14" spans="1:11" ht="24" customHeight="1">
      <c r="A14" s="12" t="s">
        <v>392</v>
      </c>
      <c r="B14" s="12" t="s">
        <v>356</v>
      </c>
      <c r="C14" s="12" t="s">
        <v>318</v>
      </c>
      <c r="D14" s="17">
        <v>46247.281944444447</v>
      </c>
      <c r="E14" s="12" t="s">
        <v>393</v>
      </c>
      <c r="F14" s="13">
        <v>15</v>
      </c>
      <c r="G14" s="12" t="s">
        <v>121</v>
      </c>
      <c r="H14" s="13">
        <v>20</v>
      </c>
      <c r="I14" s="12" t="s">
        <v>79</v>
      </c>
      <c r="J14" s="12" t="s">
        <v>279</v>
      </c>
      <c r="K14" s="12" t="s">
        <v>394</v>
      </c>
    </row>
  </sheetData>
  <mergeCells count="2">
    <mergeCell ref="A1:K1"/>
    <mergeCell ref="A2:K2"/>
  </mergeCells>
  <conditionalFormatting sqref="I5:I14">
    <cfRule type="containsText" dxfId="79" priority="1" operator="containsText" text="CRITICAL"/>
    <cfRule type="containsText" dxfId="78" priority="28" operator="containsText" text="INFO"/>
    <cfRule type="containsText" dxfId="77" priority="8" operator="containsText" text="HIGH"/>
    <cfRule type="containsText" dxfId="76" priority="17" operator="containsText" text="ACTIVE"/>
  </conditionalFormatting>
  <conditionalFormatting sqref="J5:J14">
    <cfRule type="containsText" dxfId="75" priority="34" operator="containsText" text="CRITICAL"/>
    <cfRule type="containsText" dxfId="74" priority="41" operator="containsText" text="HIGH"/>
    <cfRule type="containsText" dxfId="73" priority="50" operator="containsText" text="ACTIVE"/>
    <cfRule type="containsText" dxfId="72" priority="61" operator="containsText" text="INFO"/>
  </conditionalFormatting>
  <dataValidations count="2">
    <dataValidation type="list" sqref="I5:I14" xr:uid="{00000000-0002-0000-0800-000000000000}">
      <formula1>"NORMAL,WARNING,HIGH,CRITICAL"</formula1>
    </dataValidation>
    <dataValidation type="list" sqref="J5:J14" xr:uid="{00000000-0002-0000-0800-000001000000}">
      <formula1>"OPEN,RESOLVED,CLOSED,FALSE_POSITIVE,TEST"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showGridLines="0" workbookViewId="0"/>
  </sheetViews>
  <sheetFormatPr defaultRowHeight="13.8"/>
  <cols>
    <col min="1" max="1" width="18" customWidth="1"/>
    <col min="2" max="2" width="26" customWidth="1"/>
    <col min="3" max="6" width="18" customWidth="1"/>
    <col min="7" max="7" width="28" customWidth="1"/>
    <col min="8" max="10" width="18" customWidth="1"/>
  </cols>
  <sheetData>
    <row r="1" spans="1:10" ht="31.95" customHeight="1">
      <c r="A1" s="42" t="s">
        <v>395</v>
      </c>
      <c r="B1" s="42" t="s">
        <v>395</v>
      </c>
      <c r="C1" s="42" t="s">
        <v>395</v>
      </c>
      <c r="D1" s="42" t="s">
        <v>395</v>
      </c>
      <c r="E1" s="42" t="s">
        <v>395</v>
      </c>
      <c r="F1" s="42" t="s">
        <v>395</v>
      </c>
      <c r="G1" s="42" t="s">
        <v>395</v>
      </c>
      <c r="H1" s="42" t="s">
        <v>395</v>
      </c>
      <c r="I1" s="42" t="s">
        <v>395</v>
      </c>
      <c r="J1" s="42" t="s">
        <v>395</v>
      </c>
    </row>
    <row r="2" spans="1:10" ht="28.05" customHeight="1">
      <c r="A2" s="43" t="s">
        <v>396</v>
      </c>
      <c r="B2" s="43" t="s">
        <v>396</v>
      </c>
      <c r="C2" s="43" t="s">
        <v>396</v>
      </c>
      <c r="D2" s="43" t="s">
        <v>396</v>
      </c>
      <c r="E2" s="43" t="s">
        <v>396</v>
      </c>
      <c r="F2" s="43" t="s">
        <v>396</v>
      </c>
      <c r="G2" s="43" t="s">
        <v>396</v>
      </c>
      <c r="H2" s="43" t="s">
        <v>396</v>
      </c>
      <c r="I2" s="43" t="s">
        <v>396</v>
      </c>
      <c r="J2" s="43" t="s">
        <v>396</v>
      </c>
    </row>
    <row r="4" spans="1:10" ht="30" customHeight="1">
      <c r="A4" s="5" t="s">
        <v>397</v>
      </c>
      <c r="B4" s="5" t="s">
        <v>398</v>
      </c>
      <c r="C4" s="5" t="s">
        <v>399</v>
      </c>
      <c r="D4" s="5" t="s">
        <v>400</v>
      </c>
      <c r="E4" s="5" t="s">
        <v>401</v>
      </c>
      <c r="F4" s="5" t="s">
        <v>402</v>
      </c>
      <c r="G4" s="5" t="s">
        <v>403</v>
      </c>
      <c r="H4" s="5" t="s">
        <v>404</v>
      </c>
      <c r="I4" s="5" t="s">
        <v>96</v>
      </c>
      <c r="J4" s="5" t="s">
        <v>405</v>
      </c>
    </row>
    <row r="5" spans="1:10" ht="24" customHeight="1">
      <c r="A5" s="6" t="s">
        <v>406</v>
      </c>
      <c r="B5" s="6" t="s">
        <v>407</v>
      </c>
      <c r="C5" s="6" t="s">
        <v>408</v>
      </c>
      <c r="D5" s="6" t="s">
        <v>409</v>
      </c>
      <c r="E5" s="6" t="s">
        <v>410</v>
      </c>
      <c r="F5" s="6" t="s">
        <v>411</v>
      </c>
      <c r="G5" s="6" t="s">
        <v>412</v>
      </c>
      <c r="H5" s="6" t="s">
        <v>413</v>
      </c>
      <c r="I5" s="6" t="s">
        <v>414</v>
      </c>
      <c r="J5" s="6" t="s">
        <v>415</v>
      </c>
    </row>
    <row r="6" spans="1:10" ht="24" customHeight="1">
      <c r="A6" s="9" t="s">
        <v>416</v>
      </c>
      <c r="B6" s="9" t="s">
        <v>417</v>
      </c>
      <c r="C6" s="9" t="s">
        <v>418</v>
      </c>
      <c r="D6" s="9" t="s">
        <v>419</v>
      </c>
      <c r="E6" s="9" t="s">
        <v>420</v>
      </c>
      <c r="F6" s="9" t="s">
        <v>421</v>
      </c>
      <c r="G6" s="9" t="s">
        <v>422</v>
      </c>
      <c r="H6" s="9" t="s">
        <v>413</v>
      </c>
      <c r="I6" s="9" t="s">
        <v>414</v>
      </c>
      <c r="J6" s="9" t="s">
        <v>423</v>
      </c>
    </row>
    <row r="7" spans="1:10" ht="24" customHeight="1">
      <c r="A7" s="9" t="s">
        <v>424</v>
      </c>
      <c r="B7" s="9" t="s">
        <v>425</v>
      </c>
      <c r="C7" s="9" t="s">
        <v>426</v>
      </c>
      <c r="D7" s="9" t="s">
        <v>427</v>
      </c>
      <c r="E7" s="9" t="s">
        <v>410</v>
      </c>
      <c r="F7" s="9" t="s">
        <v>411</v>
      </c>
      <c r="G7" s="9" t="s">
        <v>428</v>
      </c>
      <c r="H7" s="9" t="s">
        <v>429</v>
      </c>
      <c r="I7" s="9" t="s">
        <v>414</v>
      </c>
      <c r="J7" s="9" t="s">
        <v>430</v>
      </c>
    </row>
    <row r="8" spans="1:10" ht="24" customHeight="1">
      <c r="A8" s="9" t="s">
        <v>431</v>
      </c>
      <c r="B8" s="9" t="s">
        <v>432</v>
      </c>
      <c r="C8" s="9" t="s">
        <v>259</v>
      </c>
      <c r="D8" s="9" t="s">
        <v>419</v>
      </c>
      <c r="E8" s="9" t="s">
        <v>420</v>
      </c>
      <c r="F8" s="9" t="s">
        <v>433</v>
      </c>
      <c r="G8" s="9" t="s">
        <v>434</v>
      </c>
      <c r="H8" s="9" t="s">
        <v>413</v>
      </c>
      <c r="I8" s="9" t="s">
        <v>414</v>
      </c>
      <c r="J8" s="9" t="s">
        <v>435</v>
      </c>
    </row>
    <row r="9" spans="1:10" ht="24" customHeight="1">
      <c r="A9" s="9" t="s">
        <v>436</v>
      </c>
      <c r="B9" s="9" t="s">
        <v>437</v>
      </c>
      <c r="C9" s="9" t="s">
        <v>438</v>
      </c>
      <c r="D9" s="9" t="s">
        <v>439</v>
      </c>
      <c r="E9" s="9" t="s">
        <v>420</v>
      </c>
      <c r="F9" s="9" t="s">
        <v>440</v>
      </c>
      <c r="G9" s="9" t="s">
        <v>441</v>
      </c>
      <c r="H9" s="9" t="s">
        <v>429</v>
      </c>
      <c r="I9" s="9" t="s">
        <v>414</v>
      </c>
      <c r="J9" s="9" t="s">
        <v>442</v>
      </c>
    </row>
    <row r="10" spans="1:10" ht="24" customHeight="1">
      <c r="A10" s="12" t="s">
        <v>443</v>
      </c>
      <c r="B10" s="12" t="s">
        <v>444</v>
      </c>
      <c r="C10" s="12" t="s">
        <v>445</v>
      </c>
      <c r="D10" s="12" t="s">
        <v>446</v>
      </c>
      <c r="E10" s="12" t="s">
        <v>410</v>
      </c>
      <c r="F10" s="12" t="s">
        <v>411</v>
      </c>
      <c r="G10" s="12" t="s">
        <v>447</v>
      </c>
      <c r="H10" s="12" t="s">
        <v>448</v>
      </c>
      <c r="I10" s="12" t="s">
        <v>449</v>
      </c>
      <c r="J10" s="12" t="s">
        <v>430</v>
      </c>
    </row>
  </sheetData>
  <mergeCells count="2">
    <mergeCell ref="A1:J1"/>
    <mergeCell ref="A2:J2"/>
  </mergeCells>
  <conditionalFormatting sqref="I5:I10">
    <cfRule type="containsText" dxfId="71" priority="1" operator="containsText" text="CRITICAL"/>
    <cfRule type="containsText" dxfId="70" priority="8" operator="containsText" text="HIGH"/>
    <cfRule type="containsText" dxfId="69" priority="17" operator="containsText" text="ACTIVE"/>
    <cfRule type="containsText" dxfId="68" priority="28" operator="containsText" text="INFO"/>
  </conditionalFormatting>
  <dataValidations count="2">
    <dataValidation type="list" sqref="E5:E10" xr:uid="{00000000-0002-0000-0900-000000000000}">
      <formula1>"INBOUND,OUTBOUND,BIDIRECTIONAL"</formula1>
    </dataValidation>
    <dataValidation type="list" sqref="I5:I10" xr:uid="{00000000-0002-0000-0900-000001000000}">
      <formula1>"CONNECTED,TESTING,DEGRADED,OFFLINE"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showGridLines="0" workbookViewId="0"/>
  </sheetViews>
  <sheetFormatPr defaultRowHeight="13.8"/>
  <cols>
    <col min="1" max="2" width="18" customWidth="1"/>
    <col min="3" max="3" width="20" customWidth="1"/>
    <col min="4" max="4" width="18" customWidth="1"/>
    <col min="5" max="5" width="28" customWidth="1"/>
    <col min="6" max="8" width="13" customWidth="1"/>
    <col min="9" max="10" width="18" customWidth="1"/>
  </cols>
  <sheetData>
    <row r="1" spans="1:10" ht="31.95" customHeight="1">
      <c r="A1" s="42" t="s">
        <v>450</v>
      </c>
      <c r="B1" s="42" t="s">
        <v>450</v>
      </c>
      <c r="C1" s="42" t="s">
        <v>450</v>
      </c>
      <c r="D1" s="42" t="s">
        <v>450</v>
      </c>
      <c r="E1" s="42" t="s">
        <v>450</v>
      </c>
      <c r="F1" s="42" t="s">
        <v>450</v>
      </c>
      <c r="G1" s="42" t="s">
        <v>450</v>
      </c>
      <c r="H1" s="42" t="s">
        <v>450</v>
      </c>
      <c r="I1" s="42" t="s">
        <v>450</v>
      </c>
      <c r="J1" s="42" t="s">
        <v>450</v>
      </c>
    </row>
    <row r="2" spans="1:10" ht="28.05" customHeight="1">
      <c r="A2" s="43" t="s">
        <v>451</v>
      </c>
      <c r="B2" s="43" t="s">
        <v>451</v>
      </c>
      <c r="C2" s="43" t="s">
        <v>451</v>
      </c>
      <c r="D2" s="43" t="s">
        <v>451</v>
      </c>
      <c r="E2" s="43" t="s">
        <v>451</v>
      </c>
      <c r="F2" s="43" t="s">
        <v>451</v>
      </c>
      <c r="G2" s="43" t="s">
        <v>451</v>
      </c>
      <c r="H2" s="43" t="s">
        <v>451</v>
      </c>
      <c r="I2" s="43" t="s">
        <v>451</v>
      </c>
      <c r="J2" s="43" t="s">
        <v>451</v>
      </c>
    </row>
    <row r="4" spans="1:10" ht="30" customHeight="1">
      <c r="A4" s="5" t="s">
        <v>452</v>
      </c>
      <c r="B4" s="5" t="s">
        <v>397</v>
      </c>
      <c r="C4" s="5" t="s">
        <v>453</v>
      </c>
      <c r="D4" s="5" t="s">
        <v>454</v>
      </c>
      <c r="E4" s="5" t="s">
        <v>455</v>
      </c>
      <c r="F4" s="5" t="s">
        <v>456</v>
      </c>
      <c r="G4" s="5" t="s">
        <v>457</v>
      </c>
      <c r="H4" s="5" t="s">
        <v>458</v>
      </c>
      <c r="I4" s="5" t="s">
        <v>459</v>
      </c>
      <c r="J4" s="5" t="s">
        <v>460</v>
      </c>
    </row>
    <row r="5" spans="1:10" ht="24" customHeight="1">
      <c r="A5" s="6" t="s">
        <v>461</v>
      </c>
      <c r="B5" s="6" t="s">
        <v>406</v>
      </c>
      <c r="C5" s="15">
        <v>46247.320833333331</v>
      </c>
      <c r="D5" s="6" t="s">
        <v>462</v>
      </c>
      <c r="E5" s="6" t="s">
        <v>463</v>
      </c>
      <c r="F5" s="18">
        <v>200</v>
      </c>
      <c r="G5" s="18">
        <v>184</v>
      </c>
      <c r="H5" s="18">
        <v>0</v>
      </c>
      <c r="I5" s="6" t="s">
        <v>464</v>
      </c>
      <c r="J5" s="6" t="s">
        <v>465</v>
      </c>
    </row>
    <row r="6" spans="1:10" ht="24" customHeight="1">
      <c r="A6" s="9" t="s">
        <v>466</v>
      </c>
      <c r="B6" s="9" t="s">
        <v>406</v>
      </c>
      <c r="C6" s="16">
        <v>46247.319444444445</v>
      </c>
      <c r="D6" s="9" t="s">
        <v>467</v>
      </c>
      <c r="E6" s="9" t="s">
        <v>468</v>
      </c>
      <c r="F6" s="19">
        <v>200</v>
      </c>
      <c r="G6" s="19">
        <v>212</v>
      </c>
      <c r="H6" s="19">
        <v>0</v>
      </c>
      <c r="I6" s="9" t="s">
        <v>464</v>
      </c>
      <c r="J6" s="9" t="s">
        <v>469</v>
      </c>
    </row>
    <row r="7" spans="1:10" ht="24" customHeight="1">
      <c r="A7" s="9" t="s">
        <v>470</v>
      </c>
      <c r="B7" s="9" t="s">
        <v>416</v>
      </c>
      <c r="C7" s="16">
        <v>46247.318055555559</v>
      </c>
      <c r="D7" s="9" t="s">
        <v>462</v>
      </c>
      <c r="E7" s="9" t="s">
        <v>471</v>
      </c>
      <c r="F7" s="19">
        <v>200</v>
      </c>
      <c r="G7" s="19">
        <v>96</v>
      </c>
      <c r="H7" s="19">
        <v>0</v>
      </c>
      <c r="I7" s="9" t="s">
        <v>464</v>
      </c>
      <c r="J7" s="9" t="s">
        <v>472</v>
      </c>
    </row>
    <row r="8" spans="1:10" ht="24" customHeight="1">
      <c r="A8" s="9" t="s">
        <v>473</v>
      </c>
      <c r="B8" s="9" t="s">
        <v>424</v>
      </c>
      <c r="C8" s="16">
        <v>46247.316666666666</v>
      </c>
      <c r="D8" s="9" t="s">
        <v>467</v>
      </c>
      <c r="E8" s="9" t="s">
        <v>474</v>
      </c>
      <c r="F8" s="19">
        <v>201</v>
      </c>
      <c r="G8" s="19">
        <v>78</v>
      </c>
      <c r="H8" s="19">
        <v>0</v>
      </c>
      <c r="I8" s="9" t="s">
        <v>464</v>
      </c>
      <c r="J8" s="9" t="s">
        <v>475</v>
      </c>
    </row>
    <row r="9" spans="1:10" ht="24" customHeight="1">
      <c r="A9" s="9" t="s">
        <v>476</v>
      </c>
      <c r="B9" s="9" t="s">
        <v>443</v>
      </c>
      <c r="C9" s="16">
        <v>46247.31527777778</v>
      </c>
      <c r="D9" s="9" t="s">
        <v>467</v>
      </c>
      <c r="E9" s="9" t="s">
        <v>477</v>
      </c>
      <c r="F9" s="19">
        <v>503</v>
      </c>
      <c r="G9" s="19">
        <v>5000</v>
      </c>
      <c r="H9" s="19">
        <v>0</v>
      </c>
      <c r="I9" s="9" t="s">
        <v>478</v>
      </c>
      <c r="J9" s="9" t="s">
        <v>479</v>
      </c>
    </row>
    <row r="10" spans="1:10" ht="24" customHeight="1">
      <c r="A10" s="9" t="s">
        <v>480</v>
      </c>
      <c r="B10" s="9" t="s">
        <v>443</v>
      </c>
      <c r="C10" s="16">
        <v>46247.272222222222</v>
      </c>
      <c r="D10" s="9" t="s">
        <v>467</v>
      </c>
      <c r="E10" s="9" t="s">
        <v>477</v>
      </c>
      <c r="F10" s="19">
        <v>200</v>
      </c>
      <c r="G10" s="19">
        <v>340</v>
      </c>
      <c r="H10" s="19">
        <v>1</v>
      </c>
      <c r="I10" s="9" t="s">
        <v>481</v>
      </c>
      <c r="J10" s="9" t="s">
        <v>482</v>
      </c>
    </row>
    <row r="11" spans="1:10" ht="24" customHeight="1">
      <c r="A11" s="9" t="s">
        <v>483</v>
      </c>
      <c r="B11" s="9" t="s">
        <v>431</v>
      </c>
      <c r="C11" s="16">
        <v>46247.270833333336</v>
      </c>
      <c r="D11" s="9" t="s">
        <v>462</v>
      </c>
      <c r="E11" s="9" t="s">
        <v>484</v>
      </c>
      <c r="F11" s="19">
        <v>200</v>
      </c>
      <c r="G11" s="19">
        <v>143</v>
      </c>
      <c r="H11" s="19">
        <v>0</v>
      </c>
      <c r="I11" s="9" t="s">
        <v>464</v>
      </c>
      <c r="J11" s="9" t="s">
        <v>485</v>
      </c>
    </row>
    <row r="12" spans="1:10" ht="24" customHeight="1">
      <c r="A12" s="9" t="s">
        <v>486</v>
      </c>
      <c r="B12" s="9" t="s">
        <v>436</v>
      </c>
      <c r="C12" s="16">
        <v>46247.269444444442</v>
      </c>
      <c r="D12" s="9" t="s">
        <v>467</v>
      </c>
      <c r="E12" s="9" t="s">
        <v>487</v>
      </c>
      <c r="F12" s="19">
        <v>200</v>
      </c>
      <c r="G12" s="19">
        <v>61</v>
      </c>
      <c r="H12" s="19">
        <v>0</v>
      </c>
      <c r="I12" s="9" t="s">
        <v>464</v>
      </c>
      <c r="J12" s="9" t="s">
        <v>488</v>
      </c>
    </row>
    <row r="13" spans="1:10" ht="24" customHeight="1">
      <c r="A13" s="9" t="s">
        <v>489</v>
      </c>
      <c r="B13" s="9" t="s">
        <v>406</v>
      </c>
      <c r="C13" s="16">
        <v>46247.268055555556</v>
      </c>
      <c r="D13" s="9" t="s">
        <v>462</v>
      </c>
      <c r="E13" s="9" t="s">
        <v>490</v>
      </c>
      <c r="F13" s="19">
        <v>429</v>
      </c>
      <c r="G13" s="19">
        <v>80</v>
      </c>
      <c r="H13" s="19">
        <v>0</v>
      </c>
      <c r="I13" s="9" t="s">
        <v>491</v>
      </c>
      <c r="J13" s="9" t="s">
        <v>492</v>
      </c>
    </row>
    <row r="14" spans="1:10" ht="24" customHeight="1">
      <c r="A14" s="9" t="s">
        <v>493</v>
      </c>
      <c r="B14" s="9" t="s">
        <v>406</v>
      </c>
      <c r="C14" s="16">
        <v>46247.26666666667</v>
      </c>
      <c r="D14" s="9" t="s">
        <v>462</v>
      </c>
      <c r="E14" s="9" t="s">
        <v>490</v>
      </c>
      <c r="F14" s="19">
        <v>200</v>
      </c>
      <c r="G14" s="19">
        <v>230</v>
      </c>
      <c r="H14" s="19">
        <v>1</v>
      </c>
      <c r="I14" s="9" t="s">
        <v>481</v>
      </c>
      <c r="J14" s="9" t="s">
        <v>494</v>
      </c>
    </row>
    <row r="15" spans="1:10" ht="24" customHeight="1">
      <c r="A15" s="9" t="s">
        <v>495</v>
      </c>
      <c r="B15" s="9" t="s">
        <v>416</v>
      </c>
      <c r="C15" s="16">
        <v>46247.223611111112</v>
      </c>
      <c r="D15" s="9" t="s">
        <v>462</v>
      </c>
      <c r="E15" s="9" t="s">
        <v>496</v>
      </c>
      <c r="F15" s="19">
        <v>200</v>
      </c>
      <c r="G15" s="19">
        <v>88</v>
      </c>
      <c r="H15" s="19">
        <v>0</v>
      </c>
      <c r="I15" s="9" t="s">
        <v>464</v>
      </c>
      <c r="J15" s="9" t="s">
        <v>497</v>
      </c>
    </row>
    <row r="16" spans="1:10" ht="24" customHeight="1">
      <c r="A16" s="9" t="s">
        <v>498</v>
      </c>
      <c r="B16" s="9" t="s">
        <v>424</v>
      </c>
      <c r="C16" s="16">
        <v>46247.222222222219</v>
      </c>
      <c r="D16" s="9" t="s">
        <v>462</v>
      </c>
      <c r="E16" s="9" t="s">
        <v>499</v>
      </c>
      <c r="F16" s="19">
        <v>200</v>
      </c>
      <c r="G16" s="19">
        <v>105</v>
      </c>
      <c r="H16" s="19">
        <v>0</v>
      </c>
      <c r="I16" s="9" t="s">
        <v>464</v>
      </c>
      <c r="J16" s="9" t="s">
        <v>500</v>
      </c>
    </row>
    <row r="17" spans="1:10" ht="24" customHeight="1">
      <c r="A17" s="9" t="s">
        <v>501</v>
      </c>
      <c r="B17" s="9" t="s">
        <v>431</v>
      </c>
      <c r="C17" s="16">
        <v>46247.220833333333</v>
      </c>
      <c r="D17" s="9" t="s">
        <v>462</v>
      </c>
      <c r="E17" s="9" t="s">
        <v>502</v>
      </c>
      <c r="F17" s="19">
        <v>500</v>
      </c>
      <c r="G17" s="19">
        <v>650</v>
      </c>
      <c r="H17" s="19">
        <v>0</v>
      </c>
      <c r="I17" s="9" t="s">
        <v>503</v>
      </c>
      <c r="J17" s="9" t="s">
        <v>504</v>
      </c>
    </row>
    <row r="18" spans="1:10" ht="24" customHeight="1">
      <c r="A18" s="9" t="s">
        <v>505</v>
      </c>
      <c r="B18" s="9" t="s">
        <v>431</v>
      </c>
      <c r="C18" s="16">
        <v>46247.219444444447</v>
      </c>
      <c r="D18" s="9" t="s">
        <v>462</v>
      </c>
      <c r="E18" s="9" t="s">
        <v>502</v>
      </c>
      <c r="F18" s="19">
        <v>200</v>
      </c>
      <c r="G18" s="19">
        <v>155</v>
      </c>
      <c r="H18" s="19">
        <v>1</v>
      </c>
      <c r="I18" s="9" t="s">
        <v>481</v>
      </c>
      <c r="J18" s="9" t="s">
        <v>506</v>
      </c>
    </row>
    <row r="19" spans="1:10" ht="24" customHeight="1">
      <c r="A19" s="9" t="s">
        <v>507</v>
      </c>
      <c r="B19" s="9" t="s">
        <v>443</v>
      </c>
      <c r="C19" s="16">
        <v>46247.218055555553</v>
      </c>
      <c r="D19" s="9" t="s">
        <v>467</v>
      </c>
      <c r="E19" s="9" t="s">
        <v>477</v>
      </c>
      <c r="F19" s="19">
        <v>202</v>
      </c>
      <c r="G19" s="19">
        <v>25</v>
      </c>
      <c r="H19" s="19">
        <v>0</v>
      </c>
      <c r="I19" s="9" t="s">
        <v>508</v>
      </c>
      <c r="J19" s="9" t="s">
        <v>509</v>
      </c>
    </row>
    <row r="20" spans="1:10" ht="24" customHeight="1">
      <c r="A20" s="9" t="s">
        <v>510</v>
      </c>
      <c r="B20" s="9" t="s">
        <v>436</v>
      </c>
      <c r="C20" s="16">
        <v>46247.175000000003</v>
      </c>
      <c r="D20" s="9" t="s">
        <v>467</v>
      </c>
      <c r="E20" s="9" t="s">
        <v>511</v>
      </c>
      <c r="F20" s="19">
        <v>202</v>
      </c>
      <c r="G20" s="19">
        <v>42</v>
      </c>
      <c r="H20" s="19">
        <v>0</v>
      </c>
      <c r="I20" s="9" t="s">
        <v>508</v>
      </c>
      <c r="J20" s="9" t="s">
        <v>512</v>
      </c>
    </row>
    <row r="21" spans="1:10" ht="24" customHeight="1">
      <c r="A21" s="9" t="s">
        <v>513</v>
      </c>
      <c r="B21" s="9" t="s">
        <v>406</v>
      </c>
      <c r="C21" s="16">
        <v>46247.173611111109</v>
      </c>
      <c r="D21" s="9" t="s">
        <v>467</v>
      </c>
      <c r="E21" s="9" t="s">
        <v>514</v>
      </c>
      <c r="F21" s="19">
        <v>201</v>
      </c>
      <c r="G21" s="19">
        <v>265</v>
      </c>
      <c r="H21" s="19">
        <v>0</v>
      </c>
      <c r="I21" s="9" t="s">
        <v>464</v>
      </c>
      <c r="J21" s="9" t="s">
        <v>515</v>
      </c>
    </row>
    <row r="22" spans="1:10" ht="24" customHeight="1">
      <c r="A22" s="9" t="s">
        <v>516</v>
      </c>
      <c r="B22" s="9" t="s">
        <v>424</v>
      </c>
      <c r="C22" s="16">
        <v>46247.172222222223</v>
      </c>
      <c r="D22" s="9" t="s">
        <v>467</v>
      </c>
      <c r="E22" s="9" t="s">
        <v>517</v>
      </c>
      <c r="F22" s="19">
        <v>200</v>
      </c>
      <c r="G22" s="19">
        <v>91</v>
      </c>
      <c r="H22" s="19">
        <v>0</v>
      </c>
      <c r="I22" s="9" t="s">
        <v>464</v>
      </c>
      <c r="J22" s="9" t="s">
        <v>518</v>
      </c>
    </row>
    <row r="23" spans="1:10" ht="24" customHeight="1">
      <c r="A23" s="9" t="s">
        <v>519</v>
      </c>
      <c r="B23" s="9" t="s">
        <v>416</v>
      </c>
      <c r="C23" s="16">
        <v>46247.17083333333</v>
      </c>
      <c r="D23" s="9" t="s">
        <v>462</v>
      </c>
      <c r="E23" s="9" t="s">
        <v>471</v>
      </c>
      <c r="F23" s="19">
        <v>401</v>
      </c>
      <c r="G23" s="19">
        <v>44</v>
      </c>
      <c r="H23" s="19">
        <v>0</v>
      </c>
      <c r="I23" s="9" t="s">
        <v>520</v>
      </c>
      <c r="J23" s="9" t="s">
        <v>521</v>
      </c>
    </row>
    <row r="24" spans="1:10" ht="24" customHeight="1">
      <c r="A24" s="12" t="s">
        <v>522</v>
      </c>
      <c r="B24" s="12" t="s">
        <v>416</v>
      </c>
      <c r="C24" s="17">
        <v>46247.169444444444</v>
      </c>
      <c r="D24" s="12" t="s">
        <v>462</v>
      </c>
      <c r="E24" s="12" t="s">
        <v>471</v>
      </c>
      <c r="F24" s="20">
        <v>200</v>
      </c>
      <c r="G24" s="20">
        <v>97</v>
      </c>
      <c r="H24" s="20">
        <v>1</v>
      </c>
      <c r="I24" s="12" t="s">
        <v>481</v>
      </c>
      <c r="J24" s="12" t="s">
        <v>523</v>
      </c>
    </row>
  </sheetData>
  <mergeCells count="2">
    <mergeCell ref="A1:J1"/>
    <mergeCell ref="A2:J2"/>
  </mergeCells>
  <conditionalFormatting sqref="F5:F24">
    <cfRule type="containsText" dxfId="67" priority="1" operator="containsText" text="CRITICAL"/>
    <cfRule type="containsText" dxfId="66" priority="28" operator="containsText" text="INFO"/>
    <cfRule type="containsText" dxfId="65" priority="8" operator="containsText" text="HIGH"/>
    <cfRule type="containsText" dxfId="64" priority="17" operator="containsText" text="ACTIVE"/>
  </conditionalFormatting>
  <conditionalFormatting sqref="I5:I24">
    <cfRule type="containsText" dxfId="63" priority="34" operator="containsText" text="CRITICAL"/>
    <cfRule type="containsText" dxfId="62" priority="41" operator="containsText" text="HIGH"/>
    <cfRule type="containsText" dxfId="61" priority="50" operator="containsText" text="ACTIVE"/>
    <cfRule type="containsText" dxfId="60" priority="61" operator="containsText" text="INFO"/>
  </conditionalFormatting>
  <dataValidations count="1">
    <dataValidation type="list" sqref="D5:D24" xr:uid="{00000000-0002-0000-0A00-000000000000}">
      <formula1>"GET,POST,PUT,PATCH,DELETE"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"/>
  <sheetViews>
    <sheetView showGridLines="0" workbookViewId="0"/>
  </sheetViews>
  <sheetFormatPr defaultRowHeight="13.8"/>
  <cols>
    <col min="1" max="1" width="18" customWidth="1"/>
    <col min="2" max="2" width="20" customWidth="1"/>
    <col min="3" max="7" width="18" customWidth="1"/>
    <col min="8" max="8" width="13" customWidth="1"/>
    <col min="9" max="10" width="20" customWidth="1"/>
    <col min="11" max="13" width="18" customWidth="1"/>
  </cols>
  <sheetData>
    <row r="1" spans="1:13" ht="31.95" customHeight="1">
      <c r="A1" s="42" t="s">
        <v>524</v>
      </c>
      <c r="B1" s="42" t="s">
        <v>524</v>
      </c>
      <c r="C1" s="42" t="s">
        <v>524</v>
      </c>
      <c r="D1" s="42" t="s">
        <v>524</v>
      </c>
      <c r="E1" s="42" t="s">
        <v>524</v>
      </c>
      <c r="F1" s="42" t="s">
        <v>524</v>
      </c>
      <c r="G1" s="42" t="s">
        <v>524</v>
      </c>
      <c r="H1" s="42" t="s">
        <v>524</v>
      </c>
      <c r="I1" s="42" t="s">
        <v>524</v>
      </c>
      <c r="J1" s="42" t="s">
        <v>524</v>
      </c>
      <c r="K1" s="42" t="s">
        <v>524</v>
      </c>
      <c r="L1" s="42" t="s">
        <v>524</v>
      </c>
      <c r="M1" s="42" t="s">
        <v>524</v>
      </c>
    </row>
    <row r="2" spans="1:13" ht="28.05" customHeight="1">
      <c r="A2" s="43" t="s">
        <v>525</v>
      </c>
      <c r="B2" s="43" t="s">
        <v>525</v>
      </c>
      <c r="C2" s="43" t="s">
        <v>525</v>
      </c>
      <c r="D2" s="43" t="s">
        <v>525</v>
      </c>
      <c r="E2" s="43" t="s">
        <v>525</v>
      </c>
      <c r="F2" s="43" t="s">
        <v>525</v>
      </c>
      <c r="G2" s="43" t="s">
        <v>525</v>
      </c>
      <c r="H2" s="43" t="s">
        <v>525</v>
      </c>
      <c r="I2" s="43" t="s">
        <v>525</v>
      </c>
      <c r="J2" s="43" t="s">
        <v>525</v>
      </c>
      <c r="K2" s="43" t="s">
        <v>525</v>
      </c>
      <c r="L2" s="43" t="s">
        <v>525</v>
      </c>
      <c r="M2" s="43" t="s">
        <v>525</v>
      </c>
    </row>
    <row r="4" spans="1:13" ht="30" customHeight="1">
      <c r="A4" s="5" t="s">
        <v>526</v>
      </c>
      <c r="B4" s="5" t="s">
        <v>527</v>
      </c>
      <c r="C4" s="5" t="s">
        <v>528</v>
      </c>
      <c r="D4" s="5" t="s">
        <v>529</v>
      </c>
      <c r="E4" s="5" t="s">
        <v>269</v>
      </c>
      <c r="F4" s="5" t="s">
        <v>530</v>
      </c>
      <c r="G4" s="5" t="s">
        <v>96</v>
      </c>
      <c r="H4" s="5" t="s">
        <v>531</v>
      </c>
      <c r="I4" s="5" t="s">
        <v>532</v>
      </c>
      <c r="J4" s="5" t="s">
        <v>533</v>
      </c>
      <c r="K4" s="5" t="s">
        <v>460</v>
      </c>
      <c r="L4" s="5" t="s">
        <v>534</v>
      </c>
      <c r="M4" s="5" t="s">
        <v>535</v>
      </c>
    </row>
    <row r="5" spans="1:13" ht="24" customHeight="1">
      <c r="A5" s="6" t="s">
        <v>536</v>
      </c>
      <c r="B5" s="15">
        <v>46247.1875</v>
      </c>
      <c r="C5" s="6" t="s">
        <v>537</v>
      </c>
      <c r="D5" s="6" t="s">
        <v>538</v>
      </c>
      <c r="E5" s="6" t="s">
        <v>539</v>
      </c>
      <c r="F5" s="6" t="s">
        <v>406</v>
      </c>
      <c r="G5" s="6" t="s">
        <v>540</v>
      </c>
      <c r="H5" s="18">
        <v>1</v>
      </c>
      <c r="I5" s="15"/>
      <c r="J5" s="15">
        <v>46247.195150462961</v>
      </c>
      <c r="K5" s="6" t="s">
        <v>541</v>
      </c>
      <c r="L5" s="6" t="s">
        <v>542</v>
      </c>
      <c r="M5" s="6"/>
    </row>
    <row r="6" spans="1:13" ht="24" customHeight="1">
      <c r="A6" s="9" t="s">
        <v>543</v>
      </c>
      <c r="B6" s="16">
        <v>46247.229166666664</v>
      </c>
      <c r="C6" s="9" t="s">
        <v>544</v>
      </c>
      <c r="D6" s="9" t="s">
        <v>318</v>
      </c>
      <c r="E6" s="9" t="s">
        <v>545</v>
      </c>
      <c r="F6" s="9" t="s">
        <v>424</v>
      </c>
      <c r="G6" s="9" t="s">
        <v>540</v>
      </c>
      <c r="H6" s="19">
        <v>1</v>
      </c>
      <c r="I6" s="16"/>
      <c r="J6" s="16">
        <v>46247.193067129629</v>
      </c>
      <c r="K6" s="9" t="s">
        <v>546</v>
      </c>
      <c r="L6" s="9" t="s">
        <v>547</v>
      </c>
      <c r="M6" s="9"/>
    </row>
    <row r="7" spans="1:13" ht="24" customHeight="1">
      <c r="A7" s="9" t="s">
        <v>548</v>
      </c>
      <c r="B7" s="16">
        <v>46247.270833333336</v>
      </c>
      <c r="C7" s="9" t="s">
        <v>549</v>
      </c>
      <c r="D7" s="9" t="s">
        <v>117</v>
      </c>
      <c r="E7" s="9" t="s">
        <v>550</v>
      </c>
      <c r="F7" s="9" t="s">
        <v>443</v>
      </c>
      <c r="G7" s="9" t="s">
        <v>540</v>
      </c>
      <c r="H7" s="19">
        <v>2</v>
      </c>
      <c r="I7" s="16"/>
      <c r="J7" s="16">
        <v>46247.191678240742</v>
      </c>
      <c r="K7" s="9" t="s">
        <v>551</v>
      </c>
      <c r="L7" s="9" t="s">
        <v>552</v>
      </c>
      <c r="M7" s="9"/>
    </row>
    <row r="8" spans="1:13" ht="24" customHeight="1">
      <c r="A8" s="9" t="s">
        <v>553</v>
      </c>
      <c r="B8" s="16">
        <v>46247.3125</v>
      </c>
      <c r="C8" s="9" t="s">
        <v>554</v>
      </c>
      <c r="D8" s="9" t="s">
        <v>555</v>
      </c>
      <c r="E8" s="9" t="s">
        <v>556</v>
      </c>
      <c r="F8" s="9" t="s">
        <v>406</v>
      </c>
      <c r="G8" s="9" t="s">
        <v>557</v>
      </c>
      <c r="H8" s="19">
        <v>2</v>
      </c>
      <c r="I8" s="16">
        <v>46247.395833333336</v>
      </c>
      <c r="J8" s="16"/>
      <c r="K8" s="9" t="s">
        <v>558</v>
      </c>
      <c r="L8" s="9" t="s">
        <v>559</v>
      </c>
      <c r="M8" s="9" t="s">
        <v>560</v>
      </c>
    </row>
    <row r="9" spans="1:13" ht="24" customHeight="1">
      <c r="A9" s="9" t="s">
        <v>561</v>
      </c>
      <c r="B9" s="16">
        <v>46247.354166666664</v>
      </c>
      <c r="C9" s="9" t="s">
        <v>562</v>
      </c>
      <c r="D9" s="9" t="s">
        <v>314</v>
      </c>
      <c r="E9" s="9" t="s">
        <v>563</v>
      </c>
      <c r="F9" s="9" t="s">
        <v>431</v>
      </c>
      <c r="G9" s="9" t="s">
        <v>540</v>
      </c>
      <c r="H9" s="19">
        <v>1</v>
      </c>
      <c r="I9" s="16"/>
      <c r="J9" s="16">
        <v>46247.302083333336</v>
      </c>
      <c r="K9" s="9" t="s">
        <v>564</v>
      </c>
      <c r="L9" s="9" t="s">
        <v>565</v>
      </c>
      <c r="M9" s="9"/>
    </row>
    <row r="10" spans="1:13" ht="24" customHeight="1">
      <c r="A10" s="12" t="s">
        <v>566</v>
      </c>
      <c r="B10" s="17">
        <v>46247.395833333336</v>
      </c>
      <c r="C10" s="12" t="s">
        <v>567</v>
      </c>
      <c r="D10" s="12" t="s">
        <v>568</v>
      </c>
      <c r="E10" s="12" t="s">
        <v>569</v>
      </c>
      <c r="F10" s="12" t="s">
        <v>406</v>
      </c>
      <c r="G10" s="12" t="s">
        <v>570</v>
      </c>
      <c r="H10" s="20">
        <v>0</v>
      </c>
      <c r="I10" s="17">
        <v>46247.416666666664</v>
      </c>
      <c r="J10" s="17"/>
      <c r="K10" s="12" t="s">
        <v>571</v>
      </c>
      <c r="L10" s="12" t="s">
        <v>572</v>
      </c>
      <c r="M10" s="12"/>
    </row>
  </sheetData>
  <mergeCells count="2">
    <mergeCell ref="A1:M1"/>
    <mergeCell ref="A2:M2"/>
  </mergeCells>
  <conditionalFormatting sqref="G5:G10">
    <cfRule type="containsText" dxfId="59" priority="1" operator="containsText" text="CRITICAL"/>
    <cfRule type="containsText" dxfId="58" priority="8" operator="containsText" text="HIGH"/>
    <cfRule type="containsText" dxfId="57" priority="17" operator="containsText" text="ACTIVE"/>
    <cfRule type="containsText" dxfId="56" priority="28" operator="containsText" text="INFO"/>
  </conditionalFormatting>
  <dataValidations count="1">
    <dataValidation type="list" sqref="G5:G10" xr:uid="{00000000-0002-0000-0B00-000000000000}">
      <formula1>"PENDING,PROCESSING,PROCESSED,RETRY_SCHEDULED,DEAD_LETTER,CANCELLED"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showGridLines="0" workbookViewId="0"/>
  </sheetViews>
  <sheetFormatPr defaultRowHeight="13.8"/>
  <cols>
    <col min="1" max="2" width="18" customWidth="1"/>
    <col min="3" max="4" width="20" customWidth="1"/>
    <col min="5" max="7" width="18" customWidth="1"/>
  </cols>
  <sheetData>
    <row r="1" spans="1:7" ht="31.95" customHeight="1">
      <c r="A1" s="42" t="s">
        <v>573</v>
      </c>
      <c r="B1" s="42" t="s">
        <v>573</v>
      </c>
      <c r="C1" s="42" t="s">
        <v>573</v>
      </c>
      <c r="D1" s="42" t="s">
        <v>573</v>
      </c>
      <c r="E1" s="42" t="s">
        <v>573</v>
      </c>
      <c r="F1" s="42" t="s">
        <v>573</v>
      </c>
      <c r="G1" s="42" t="s">
        <v>573</v>
      </c>
    </row>
    <row r="2" spans="1:7" ht="28.05" customHeight="1">
      <c r="A2" s="43" t="s">
        <v>574</v>
      </c>
      <c r="B2" s="43" t="s">
        <v>574</v>
      </c>
      <c r="C2" s="43" t="s">
        <v>574</v>
      </c>
      <c r="D2" s="43" t="s">
        <v>574</v>
      </c>
      <c r="E2" s="43" t="s">
        <v>574</v>
      </c>
      <c r="F2" s="43" t="s">
        <v>574</v>
      </c>
      <c r="G2" s="43" t="s">
        <v>574</v>
      </c>
    </row>
    <row r="4" spans="1:7" ht="30" customHeight="1">
      <c r="A4" s="5" t="s">
        <v>575</v>
      </c>
      <c r="B4" s="5" t="s">
        <v>576</v>
      </c>
      <c r="C4" s="5" t="s">
        <v>577</v>
      </c>
      <c r="D4" s="5" t="s">
        <v>578</v>
      </c>
      <c r="E4" s="5" t="s">
        <v>96</v>
      </c>
      <c r="F4" s="5" t="s">
        <v>579</v>
      </c>
      <c r="G4" s="5" t="s">
        <v>580</v>
      </c>
    </row>
    <row r="5" spans="1:7" ht="24" customHeight="1">
      <c r="A5" s="6" t="s">
        <v>581</v>
      </c>
      <c r="B5" s="6" t="s">
        <v>582</v>
      </c>
      <c r="C5" s="15">
        <v>46247.25</v>
      </c>
      <c r="D5" s="15">
        <v>46247.255555555559</v>
      </c>
      <c r="E5" s="6" t="s">
        <v>382</v>
      </c>
      <c r="F5" s="6" t="s">
        <v>583</v>
      </c>
      <c r="G5" s="6" t="s">
        <v>584</v>
      </c>
    </row>
    <row r="6" spans="1:7" ht="24" customHeight="1">
      <c r="A6" s="9" t="s">
        <v>585</v>
      </c>
      <c r="B6" s="9" t="s">
        <v>586</v>
      </c>
      <c r="C6" s="16">
        <v>46247.291666666664</v>
      </c>
      <c r="D6" s="16"/>
      <c r="E6" s="9" t="s">
        <v>104</v>
      </c>
      <c r="F6" s="9" t="s">
        <v>587</v>
      </c>
      <c r="G6" s="9" t="s">
        <v>584</v>
      </c>
    </row>
    <row r="7" spans="1:7" ht="24" customHeight="1">
      <c r="A7" s="9" t="s">
        <v>588</v>
      </c>
      <c r="B7" s="9" t="s">
        <v>582</v>
      </c>
      <c r="C7" s="16">
        <v>46246.458333333336</v>
      </c>
      <c r="D7" s="16">
        <v>46246.462500000001</v>
      </c>
      <c r="E7" s="9" t="s">
        <v>382</v>
      </c>
      <c r="F7" s="9" t="s">
        <v>589</v>
      </c>
      <c r="G7" s="9" t="s">
        <v>584</v>
      </c>
    </row>
    <row r="8" spans="1:7" ht="24" customHeight="1">
      <c r="A8" s="12" t="s">
        <v>590</v>
      </c>
      <c r="B8" s="12" t="s">
        <v>591</v>
      </c>
      <c r="C8" s="17">
        <v>46246.333333333336</v>
      </c>
      <c r="D8" s="17">
        <v>46246.334722222222</v>
      </c>
      <c r="E8" s="12" t="s">
        <v>592</v>
      </c>
      <c r="F8" s="12" t="s">
        <v>593</v>
      </c>
      <c r="G8" s="12" t="s">
        <v>594</v>
      </c>
    </row>
  </sheetData>
  <mergeCells count="2">
    <mergeCell ref="A1:G1"/>
    <mergeCell ref="A2:G2"/>
  </mergeCells>
  <conditionalFormatting sqref="E5:E8">
    <cfRule type="containsText" dxfId="55" priority="1" operator="containsText" text="CRITICAL"/>
    <cfRule type="containsText" dxfId="54" priority="8" operator="containsText" text="HIGH"/>
    <cfRule type="containsText" dxfId="53" priority="17" operator="containsText" text="ACTIVE"/>
    <cfRule type="containsText" dxfId="52" priority="28" operator="containsText" text="INFO"/>
  </conditionalFormatting>
  <dataValidations count="2">
    <dataValidation type="list" sqref="E5:E8" xr:uid="{00000000-0002-0000-0C00-000000000000}">
      <formula1>"ACTIVE,CLOSED,DENIED"</formula1>
    </dataValidation>
    <dataValidation type="list" sqref="G5:G8" xr:uid="{00000000-0002-0000-0C00-000001000000}">
      <formula1>"INTERNAL,CONFIDENTIAL,RESTRICTED"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"/>
  <sheetViews>
    <sheetView showGridLines="0" workbookViewId="0"/>
  </sheetViews>
  <sheetFormatPr defaultRowHeight="13.8"/>
  <cols>
    <col min="1" max="2" width="18" customWidth="1"/>
    <col min="3" max="3" width="13" customWidth="1"/>
    <col min="4" max="4" width="18" customWidth="1"/>
    <col min="5" max="5" width="20" customWidth="1"/>
    <col min="6" max="6" width="34" customWidth="1"/>
    <col min="7" max="7" width="13" customWidth="1"/>
    <col min="8" max="9" width="18" customWidth="1"/>
  </cols>
  <sheetData>
    <row r="1" spans="1:9" ht="31.95" customHeight="1">
      <c r="A1" s="42" t="s">
        <v>595</v>
      </c>
      <c r="B1" s="42" t="s">
        <v>595</v>
      </c>
      <c r="C1" s="42" t="s">
        <v>595</v>
      </c>
      <c r="D1" s="42" t="s">
        <v>595</v>
      </c>
      <c r="E1" s="42" t="s">
        <v>595</v>
      </c>
      <c r="F1" s="42" t="s">
        <v>595</v>
      </c>
      <c r="G1" s="42" t="s">
        <v>595</v>
      </c>
      <c r="H1" s="42" t="s">
        <v>595</v>
      </c>
      <c r="I1" s="42" t="s">
        <v>595</v>
      </c>
    </row>
    <row r="2" spans="1:9" ht="28.05" customHeight="1">
      <c r="A2" s="43" t="s">
        <v>596</v>
      </c>
      <c r="B2" s="43" t="s">
        <v>596</v>
      </c>
      <c r="C2" s="43" t="s">
        <v>596</v>
      </c>
      <c r="D2" s="43" t="s">
        <v>596</v>
      </c>
      <c r="E2" s="43" t="s">
        <v>596</v>
      </c>
      <c r="F2" s="43" t="s">
        <v>596</v>
      </c>
      <c r="G2" s="43" t="s">
        <v>596</v>
      </c>
      <c r="H2" s="43" t="s">
        <v>596</v>
      </c>
      <c r="I2" s="43" t="s">
        <v>596</v>
      </c>
    </row>
    <row r="4" spans="1:9" ht="30" customHeight="1">
      <c r="A4" s="5" t="s">
        <v>597</v>
      </c>
      <c r="B4" s="5" t="s">
        <v>575</v>
      </c>
      <c r="C4" s="5" t="s">
        <v>598</v>
      </c>
      <c r="D4" s="5" t="s">
        <v>599</v>
      </c>
      <c r="E4" s="5" t="s">
        <v>527</v>
      </c>
      <c r="F4" s="5" t="s">
        <v>600</v>
      </c>
      <c r="G4" s="5" t="s">
        <v>601</v>
      </c>
      <c r="H4" s="5" t="s">
        <v>602</v>
      </c>
      <c r="I4" s="5" t="s">
        <v>96</v>
      </c>
    </row>
    <row r="5" spans="1:9" ht="24" customHeight="1">
      <c r="A5" s="6" t="s">
        <v>603</v>
      </c>
      <c r="B5" s="6" t="s">
        <v>581</v>
      </c>
      <c r="C5" s="18">
        <v>1</v>
      </c>
      <c r="D5" s="6" t="s">
        <v>604</v>
      </c>
      <c r="E5" s="15">
        <v>46247.250694444447</v>
      </c>
      <c r="F5" s="24" t="s">
        <v>605</v>
      </c>
      <c r="G5" s="18"/>
      <c r="H5" s="6" t="s">
        <v>606</v>
      </c>
      <c r="I5" s="6" t="s">
        <v>607</v>
      </c>
    </row>
    <row r="6" spans="1:9" ht="24" customHeight="1">
      <c r="A6" s="9" t="s">
        <v>608</v>
      </c>
      <c r="B6" s="9" t="s">
        <v>581</v>
      </c>
      <c r="C6" s="19">
        <v>2</v>
      </c>
      <c r="D6" s="9" t="s">
        <v>609</v>
      </c>
      <c r="E6" s="16">
        <v>46247.251388888886</v>
      </c>
      <c r="F6" s="25" t="s">
        <v>610</v>
      </c>
      <c r="G6" s="19">
        <v>5</v>
      </c>
      <c r="H6" s="9" t="s">
        <v>606</v>
      </c>
      <c r="I6" s="9" t="s">
        <v>607</v>
      </c>
    </row>
    <row r="7" spans="1:9" ht="24" customHeight="1">
      <c r="A7" s="9" t="s">
        <v>611</v>
      </c>
      <c r="B7" s="9" t="s">
        <v>581</v>
      </c>
      <c r="C7" s="19">
        <v>3</v>
      </c>
      <c r="D7" s="9" t="s">
        <v>604</v>
      </c>
      <c r="E7" s="16">
        <v>46247.252083333333</v>
      </c>
      <c r="F7" s="25" t="s">
        <v>612</v>
      </c>
      <c r="G7" s="19"/>
      <c r="H7" s="9" t="s">
        <v>606</v>
      </c>
      <c r="I7" s="9" t="s">
        <v>607</v>
      </c>
    </row>
    <row r="8" spans="1:9" ht="24" customHeight="1">
      <c r="A8" s="9" t="s">
        <v>613</v>
      </c>
      <c r="B8" s="9" t="s">
        <v>581</v>
      </c>
      <c r="C8" s="19">
        <v>4</v>
      </c>
      <c r="D8" s="9" t="s">
        <v>609</v>
      </c>
      <c r="E8" s="16">
        <v>46247.25277777778</v>
      </c>
      <c r="F8" s="25" t="s">
        <v>614</v>
      </c>
      <c r="G8" s="19">
        <v>5</v>
      </c>
      <c r="H8" s="9" t="s">
        <v>606</v>
      </c>
      <c r="I8" s="9" t="s">
        <v>607</v>
      </c>
    </row>
    <row r="9" spans="1:9" ht="24" customHeight="1">
      <c r="A9" s="9" t="s">
        <v>615</v>
      </c>
      <c r="B9" s="9" t="s">
        <v>585</v>
      </c>
      <c r="C9" s="19">
        <v>1</v>
      </c>
      <c r="D9" s="9" t="s">
        <v>604</v>
      </c>
      <c r="E9" s="16">
        <v>46247.292361111111</v>
      </c>
      <c r="F9" s="25" t="s">
        <v>616</v>
      </c>
      <c r="G9" s="19"/>
      <c r="H9" s="9" t="s">
        <v>606</v>
      </c>
      <c r="I9" s="9" t="s">
        <v>607</v>
      </c>
    </row>
    <row r="10" spans="1:9" ht="24" customHeight="1">
      <c r="A10" s="9" t="s">
        <v>617</v>
      </c>
      <c r="B10" s="9" t="s">
        <v>585</v>
      </c>
      <c r="C10" s="19">
        <v>2</v>
      </c>
      <c r="D10" s="9" t="s">
        <v>609</v>
      </c>
      <c r="E10" s="16">
        <v>46247.293055555558</v>
      </c>
      <c r="F10" s="25" t="s">
        <v>618</v>
      </c>
      <c r="G10" s="19">
        <v>3</v>
      </c>
      <c r="H10" s="9" t="s">
        <v>606</v>
      </c>
      <c r="I10" s="9" t="s">
        <v>607</v>
      </c>
    </row>
    <row r="11" spans="1:9" ht="24" customHeight="1">
      <c r="A11" s="9" t="s">
        <v>619</v>
      </c>
      <c r="B11" s="9" t="s">
        <v>588</v>
      </c>
      <c r="C11" s="19">
        <v>1</v>
      </c>
      <c r="D11" s="9" t="s">
        <v>604</v>
      </c>
      <c r="E11" s="16">
        <v>46246.459027777775</v>
      </c>
      <c r="F11" s="25" t="s">
        <v>620</v>
      </c>
      <c r="G11" s="19"/>
      <c r="H11" s="9" t="s">
        <v>606</v>
      </c>
      <c r="I11" s="9" t="s">
        <v>607</v>
      </c>
    </row>
    <row r="12" spans="1:9" ht="24" customHeight="1">
      <c r="A12" s="9" t="s">
        <v>621</v>
      </c>
      <c r="B12" s="9" t="s">
        <v>588</v>
      </c>
      <c r="C12" s="19">
        <v>2</v>
      </c>
      <c r="D12" s="9" t="s">
        <v>609</v>
      </c>
      <c r="E12" s="16">
        <v>46246.459722222222</v>
      </c>
      <c r="F12" s="25" t="s">
        <v>622</v>
      </c>
      <c r="G12" s="19">
        <v>1</v>
      </c>
      <c r="H12" s="9" t="s">
        <v>606</v>
      </c>
      <c r="I12" s="9" t="s">
        <v>607</v>
      </c>
    </row>
    <row r="13" spans="1:9" ht="24" customHeight="1">
      <c r="A13" s="9" t="s">
        <v>623</v>
      </c>
      <c r="B13" s="9" t="s">
        <v>590</v>
      </c>
      <c r="C13" s="19">
        <v>1</v>
      </c>
      <c r="D13" s="9" t="s">
        <v>604</v>
      </c>
      <c r="E13" s="16">
        <v>46246.334027777775</v>
      </c>
      <c r="F13" s="25" t="s">
        <v>624</v>
      </c>
      <c r="G13" s="19"/>
      <c r="H13" s="9" t="s">
        <v>625</v>
      </c>
      <c r="I13" s="9" t="s">
        <v>626</v>
      </c>
    </row>
    <row r="14" spans="1:9" ht="24" customHeight="1">
      <c r="A14" s="12" t="s">
        <v>627</v>
      </c>
      <c r="B14" s="12" t="s">
        <v>590</v>
      </c>
      <c r="C14" s="20">
        <v>2</v>
      </c>
      <c r="D14" s="12" t="s">
        <v>609</v>
      </c>
      <c r="E14" s="17">
        <v>46246.334722222222</v>
      </c>
      <c r="F14" s="26" t="s">
        <v>628</v>
      </c>
      <c r="G14" s="20">
        <v>0</v>
      </c>
      <c r="H14" s="12" t="s">
        <v>629</v>
      </c>
      <c r="I14" s="12" t="s">
        <v>607</v>
      </c>
    </row>
  </sheetData>
  <mergeCells count="2">
    <mergeCell ref="A1:I1"/>
    <mergeCell ref="A2:I2"/>
  </mergeCells>
  <conditionalFormatting sqref="H5:H14">
    <cfRule type="containsText" dxfId="51" priority="1" operator="containsText" text="CRITICAL"/>
    <cfRule type="containsText" dxfId="50" priority="28" operator="containsText" text="INFO"/>
    <cfRule type="containsText" dxfId="49" priority="8" operator="containsText" text="HIGH"/>
    <cfRule type="containsText" dxfId="48" priority="17" operator="containsText" text="ACTIVE"/>
  </conditionalFormatting>
  <conditionalFormatting sqref="I5:I14">
    <cfRule type="containsText" dxfId="47" priority="34" operator="containsText" text="CRITICAL"/>
    <cfRule type="containsText" dxfId="46" priority="41" operator="containsText" text="HIGH"/>
    <cfRule type="containsText" dxfId="45" priority="50" operator="containsText" text="ACTIVE"/>
    <cfRule type="containsText" dxfId="44" priority="61" operator="containsText" text="INFO"/>
  </conditionalFormatting>
  <dataValidations count="3">
    <dataValidation type="list" sqref="D5:D14" xr:uid="{00000000-0002-0000-0D00-000000000000}">
      <formula1>"USER,ASSISTANT,SYSTEM"</formula1>
    </dataValidation>
    <dataValidation type="list" sqref="H5:H14" xr:uid="{00000000-0002-0000-0D00-000001000000}">
      <formula1>"SAFE,RESTRICTED_REQUEST,POLICY_BLOCK"</formula1>
    </dataValidation>
    <dataValidation type="list" sqref="I5:I14" xr:uid="{00000000-0002-0000-0D00-000002000000}">
      <formula1>"COMPLETED,BLOCKED,FAILED"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showGridLines="0" workbookViewId="0"/>
  </sheetViews>
  <sheetFormatPr defaultRowHeight="13.8"/>
  <cols>
    <col min="1" max="2" width="18" customWidth="1"/>
    <col min="3" max="3" width="26" customWidth="1"/>
    <col min="4" max="4" width="18" customWidth="1"/>
    <col min="5" max="5" width="34" customWidth="1"/>
    <col min="6" max="7" width="20" customWidth="1"/>
    <col min="8" max="8" width="13" customWidth="1"/>
    <col min="9" max="10" width="18" customWidth="1"/>
    <col min="11" max="11" width="13" customWidth="1"/>
  </cols>
  <sheetData>
    <row r="1" spans="1:11" ht="31.95" customHeight="1">
      <c r="A1" s="42" t="s">
        <v>630</v>
      </c>
      <c r="B1" s="42" t="s">
        <v>630</v>
      </c>
      <c r="C1" s="42" t="s">
        <v>630</v>
      </c>
      <c r="D1" s="42" t="s">
        <v>630</v>
      </c>
      <c r="E1" s="42" t="s">
        <v>630</v>
      </c>
      <c r="F1" s="42" t="s">
        <v>630</v>
      </c>
      <c r="G1" s="42" t="s">
        <v>630</v>
      </c>
      <c r="H1" s="42" t="s">
        <v>630</v>
      </c>
      <c r="I1" s="42" t="s">
        <v>630</v>
      </c>
      <c r="J1" s="42" t="s">
        <v>630</v>
      </c>
      <c r="K1" s="42" t="s">
        <v>630</v>
      </c>
    </row>
    <row r="2" spans="1:11" ht="28.05" customHeight="1">
      <c r="A2" s="43" t="s">
        <v>631</v>
      </c>
      <c r="B2" s="43" t="s">
        <v>631</v>
      </c>
      <c r="C2" s="43" t="s">
        <v>631</v>
      </c>
      <c r="D2" s="43" t="s">
        <v>631</v>
      </c>
      <c r="E2" s="43" t="s">
        <v>631</v>
      </c>
      <c r="F2" s="43" t="s">
        <v>631</v>
      </c>
      <c r="G2" s="43" t="s">
        <v>631</v>
      </c>
      <c r="H2" s="43" t="s">
        <v>631</v>
      </c>
      <c r="I2" s="43" t="s">
        <v>631</v>
      </c>
      <c r="J2" s="43" t="s">
        <v>631</v>
      </c>
      <c r="K2" s="43" t="s">
        <v>631</v>
      </c>
    </row>
    <row r="4" spans="1:11" ht="30" customHeight="1">
      <c r="A4" s="5" t="s">
        <v>632</v>
      </c>
      <c r="B4" s="5" t="s">
        <v>597</v>
      </c>
      <c r="C4" s="5" t="s">
        <v>633</v>
      </c>
      <c r="D4" s="5" t="s">
        <v>634</v>
      </c>
      <c r="E4" s="5" t="s">
        <v>635</v>
      </c>
      <c r="F4" s="5" t="s">
        <v>577</v>
      </c>
      <c r="G4" s="5" t="s">
        <v>636</v>
      </c>
      <c r="H4" s="5" t="s">
        <v>637</v>
      </c>
      <c r="I4" s="5" t="s">
        <v>459</v>
      </c>
      <c r="J4" s="5" t="s">
        <v>638</v>
      </c>
      <c r="K4" s="5" t="s">
        <v>639</v>
      </c>
    </row>
    <row r="5" spans="1:11" ht="24" customHeight="1">
      <c r="A5" s="6" t="s">
        <v>640</v>
      </c>
      <c r="B5" s="6" t="s">
        <v>608</v>
      </c>
      <c r="C5" s="6" t="s">
        <v>641</v>
      </c>
      <c r="D5" s="6" t="s">
        <v>642</v>
      </c>
      <c r="E5" s="24" t="s">
        <v>643</v>
      </c>
      <c r="F5" s="15">
        <v>46247.251504629632</v>
      </c>
      <c r="G5" s="15">
        <v>46247.251516203702</v>
      </c>
      <c r="H5" s="18">
        <v>5</v>
      </c>
      <c r="I5" s="6" t="s">
        <v>464</v>
      </c>
      <c r="J5" s="6" t="s">
        <v>644</v>
      </c>
      <c r="K5" s="27" t="b">
        <v>0</v>
      </c>
    </row>
    <row r="6" spans="1:11" ht="24" customHeight="1">
      <c r="A6" s="9" t="s">
        <v>645</v>
      </c>
      <c r="B6" s="9" t="s">
        <v>613</v>
      </c>
      <c r="C6" s="9" t="s">
        <v>646</v>
      </c>
      <c r="D6" s="9" t="s">
        <v>537</v>
      </c>
      <c r="E6" s="25" t="s">
        <v>647</v>
      </c>
      <c r="F6" s="16">
        <v>46247.252893518518</v>
      </c>
      <c r="G6" s="16">
        <v>46247.252905092595</v>
      </c>
      <c r="H6" s="19">
        <v>5</v>
      </c>
      <c r="I6" s="9" t="s">
        <v>464</v>
      </c>
      <c r="J6" s="9" t="s">
        <v>648</v>
      </c>
      <c r="K6" s="28" t="b">
        <v>0</v>
      </c>
    </row>
    <row r="7" spans="1:11" ht="24" customHeight="1">
      <c r="A7" s="9" t="s">
        <v>649</v>
      </c>
      <c r="B7" s="9" t="s">
        <v>617</v>
      </c>
      <c r="C7" s="9" t="s">
        <v>650</v>
      </c>
      <c r="D7" s="9" t="s">
        <v>651</v>
      </c>
      <c r="E7" s="25" t="s">
        <v>652</v>
      </c>
      <c r="F7" s="16">
        <v>46247.293171296296</v>
      </c>
      <c r="G7" s="16">
        <v>46247.293182870373</v>
      </c>
      <c r="H7" s="19">
        <v>3</v>
      </c>
      <c r="I7" s="9" t="s">
        <v>464</v>
      </c>
      <c r="J7" s="9" t="s">
        <v>653</v>
      </c>
      <c r="K7" s="28" t="b">
        <v>0</v>
      </c>
    </row>
    <row r="8" spans="1:11" ht="24" customHeight="1">
      <c r="A8" s="9" t="s">
        <v>654</v>
      </c>
      <c r="B8" s="9" t="s">
        <v>621</v>
      </c>
      <c r="C8" s="9" t="s">
        <v>655</v>
      </c>
      <c r="D8" s="9" t="s">
        <v>656</v>
      </c>
      <c r="E8" s="25" t="s">
        <v>657</v>
      </c>
      <c r="F8" s="16">
        <v>46246.459837962961</v>
      </c>
      <c r="G8" s="16">
        <v>46246.459849537037</v>
      </c>
      <c r="H8" s="19">
        <v>1</v>
      </c>
      <c r="I8" s="9" t="s">
        <v>464</v>
      </c>
      <c r="J8" s="9" t="s">
        <v>658</v>
      </c>
      <c r="K8" s="28" t="b">
        <v>0</v>
      </c>
    </row>
    <row r="9" spans="1:11" ht="24" customHeight="1">
      <c r="A9" s="12" t="s">
        <v>659</v>
      </c>
      <c r="B9" s="12" t="s">
        <v>627</v>
      </c>
      <c r="C9" s="12" t="s">
        <v>660</v>
      </c>
      <c r="D9" s="12" t="s">
        <v>661</v>
      </c>
      <c r="E9" s="26" t="s">
        <v>662</v>
      </c>
      <c r="F9" s="17">
        <v>46246.334837962961</v>
      </c>
      <c r="G9" s="17">
        <v>46246.334849537037</v>
      </c>
      <c r="H9" s="20">
        <v>0</v>
      </c>
      <c r="I9" s="12" t="s">
        <v>592</v>
      </c>
      <c r="J9" s="12" t="s">
        <v>663</v>
      </c>
      <c r="K9" s="29" t="b">
        <v>0</v>
      </c>
    </row>
  </sheetData>
  <mergeCells count="2">
    <mergeCell ref="A1:K1"/>
    <mergeCell ref="A2:K2"/>
  </mergeCells>
  <conditionalFormatting sqref="I5:I9">
    <cfRule type="containsText" dxfId="43" priority="1" operator="containsText" text="CRITICAL"/>
    <cfRule type="containsText" dxfId="42" priority="8" operator="containsText" text="HIGH"/>
    <cfRule type="containsText" dxfId="41" priority="17" operator="containsText" text="ACTIVE"/>
    <cfRule type="containsText" dxfId="40" priority="28" operator="containsText" text="INFO"/>
  </conditionalFormatting>
  <dataValidations count="1">
    <dataValidation type="list" sqref="I5:I9" xr:uid="{00000000-0002-0000-0E00-000000000000}">
      <formula1>"SUCCESS,DENIED,FAILED"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2"/>
  <sheetViews>
    <sheetView showGridLines="0" workbookViewId="0"/>
  </sheetViews>
  <sheetFormatPr defaultRowHeight="13.8"/>
  <cols>
    <col min="1" max="1" width="18" customWidth="1"/>
    <col min="2" max="2" width="20" customWidth="1"/>
    <col min="3" max="8" width="18" customWidth="1"/>
    <col min="9" max="9" width="26" customWidth="1"/>
    <col min="10" max="10" width="34" customWidth="1"/>
    <col min="11" max="11" width="18" customWidth="1"/>
    <col min="12" max="12" width="20" customWidth="1"/>
    <col min="13" max="14" width="18" customWidth="1"/>
  </cols>
  <sheetData>
    <row r="1" spans="1:14" ht="31.95" customHeight="1">
      <c r="A1" s="42" t="s">
        <v>664</v>
      </c>
      <c r="B1" s="42" t="s">
        <v>664</v>
      </c>
      <c r="C1" s="42" t="s">
        <v>664</v>
      </c>
      <c r="D1" s="42" t="s">
        <v>664</v>
      </c>
      <c r="E1" s="42" t="s">
        <v>664</v>
      </c>
      <c r="F1" s="42" t="s">
        <v>664</v>
      </c>
      <c r="G1" s="42" t="s">
        <v>664</v>
      </c>
      <c r="H1" s="42" t="s">
        <v>664</v>
      </c>
      <c r="I1" s="42" t="s">
        <v>664</v>
      </c>
      <c r="J1" s="42" t="s">
        <v>664</v>
      </c>
      <c r="K1" s="42" t="s">
        <v>664</v>
      </c>
      <c r="L1" s="42" t="s">
        <v>664</v>
      </c>
      <c r="M1" s="42" t="s">
        <v>664</v>
      </c>
      <c r="N1" s="42" t="s">
        <v>664</v>
      </c>
    </row>
    <row r="2" spans="1:14" ht="28.05" customHeight="1">
      <c r="A2" s="43" t="s">
        <v>665</v>
      </c>
      <c r="B2" s="43" t="s">
        <v>665</v>
      </c>
      <c r="C2" s="43" t="s">
        <v>665</v>
      </c>
      <c r="D2" s="43" t="s">
        <v>665</v>
      </c>
      <c r="E2" s="43" t="s">
        <v>665</v>
      </c>
      <c r="F2" s="43" t="s">
        <v>665</v>
      </c>
      <c r="G2" s="43" t="s">
        <v>665</v>
      </c>
      <c r="H2" s="43" t="s">
        <v>665</v>
      </c>
      <c r="I2" s="43" t="s">
        <v>665</v>
      </c>
      <c r="J2" s="43" t="s">
        <v>665</v>
      </c>
      <c r="K2" s="43" t="s">
        <v>665</v>
      </c>
      <c r="L2" s="43" t="s">
        <v>665</v>
      </c>
      <c r="M2" s="43" t="s">
        <v>665</v>
      </c>
      <c r="N2" s="43" t="s">
        <v>665</v>
      </c>
    </row>
    <row r="4" spans="1:14" ht="30" customHeight="1">
      <c r="A4" s="5" t="s">
        <v>666</v>
      </c>
      <c r="B4" s="5" t="s">
        <v>527</v>
      </c>
      <c r="C4" s="5" t="s">
        <v>667</v>
      </c>
      <c r="D4" s="5" t="s">
        <v>272</v>
      </c>
      <c r="E4" s="5" t="s">
        <v>634</v>
      </c>
      <c r="F4" s="5" t="s">
        <v>668</v>
      </c>
      <c r="G4" s="5" t="s">
        <v>669</v>
      </c>
      <c r="H4" s="5" t="s">
        <v>670</v>
      </c>
      <c r="I4" s="5" t="s">
        <v>671</v>
      </c>
      <c r="J4" s="5" t="s">
        <v>672</v>
      </c>
      <c r="K4" s="5" t="s">
        <v>96</v>
      </c>
      <c r="L4" s="5" t="s">
        <v>673</v>
      </c>
      <c r="M4" s="5" t="s">
        <v>534</v>
      </c>
      <c r="N4" s="5" t="s">
        <v>674</v>
      </c>
    </row>
    <row r="5" spans="1:14" ht="24" customHeight="1">
      <c r="A5" s="6" t="s">
        <v>675</v>
      </c>
      <c r="B5" s="15">
        <v>46247.368055555555</v>
      </c>
      <c r="C5" s="6" t="s">
        <v>676</v>
      </c>
      <c r="D5" s="6" t="s">
        <v>79</v>
      </c>
      <c r="E5" s="6" t="s">
        <v>537</v>
      </c>
      <c r="F5" s="6" t="s">
        <v>538</v>
      </c>
      <c r="G5" s="6" t="s">
        <v>677</v>
      </c>
      <c r="H5" s="6" t="s">
        <v>678</v>
      </c>
      <c r="I5" s="6" t="s">
        <v>679</v>
      </c>
      <c r="J5" s="24" t="s">
        <v>680</v>
      </c>
      <c r="K5" s="6" t="s">
        <v>681</v>
      </c>
      <c r="L5" s="15"/>
      <c r="M5" s="6" t="s">
        <v>682</v>
      </c>
      <c r="N5" s="6" t="s">
        <v>683</v>
      </c>
    </row>
    <row r="6" spans="1:14" ht="24" customHeight="1">
      <c r="A6" s="9" t="s">
        <v>684</v>
      </c>
      <c r="B6" s="16">
        <v>46247.365972222222</v>
      </c>
      <c r="C6" s="9" t="s">
        <v>685</v>
      </c>
      <c r="D6" s="9" t="s">
        <v>81</v>
      </c>
      <c r="E6" s="9" t="s">
        <v>537</v>
      </c>
      <c r="F6" s="9" t="s">
        <v>686</v>
      </c>
      <c r="G6" s="9" t="s">
        <v>677</v>
      </c>
      <c r="H6" s="9" t="s">
        <v>687</v>
      </c>
      <c r="I6" s="9" t="s">
        <v>688</v>
      </c>
      <c r="J6" s="25" t="s">
        <v>689</v>
      </c>
      <c r="K6" s="9" t="s">
        <v>681</v>
      </c>
      <c r="L6" s="16"/>
      <c r="M6" s="9" t="s">
        <v>690</v>
      </c>
      <c r="N6" s="9" t="s">
        <v>683</v>
      </c>
    </row>
    <row r="7" spans="1:14" ht="24" customHeight="1">
      <c r="A7" s="9" t="s">
        <v>691</v>
      </c>
      <c r="B7" s="16">
        <v>46247.363888888889</v>
      </c>
      <c r="C7" s="9" t="s">
        <v>692</v>
      </c>
      <c r="D7" s="9" t="s">
        <v>79</v>
      </c>
      <c r="E7" s="9" t="s">
        <v>693</v>
      </c>
      <c r="F7" s="9" t="s">
        <v>694</v>
      </c>
      <c r="G7" s="9" t="s">
        <v>604</v>
      </c>
      <c r="H7" s="9" t="s">
        <v>695</v>
      </c>
      <c r="I7" s="9" t="s">
        <v>696</v>
      </c>
      <c r="J7" s="25" t="s">
        <v>697</v>
      </c>
      <c r="K7" s="9" t="s">
        <v>681</v>
      </c>
      <c r="L7" s="16"/>
      <c r="M7" s="9" t="s">
        <v>698</v>
      </c>
      <c r="N7" s="9" t="s">
        <v>683</v>
      </c>
    </row>
    <row r="8" spans="1:14" ht="24" customHeight="1">
      <c r="A8" s="9" t="s">
        <v>699</v>
      </c>
      <c r="B8" s="16">
        <v>46247.361805555556</v>
      </c>
      <c r="C8" s="9" t="s">
        <v>700</v>
      </c>
      <c r="D8" s="9" t="s">
        <v>81</v>
      </c>
      <c r="E8" s="9" t="s">
        <v>693</v>
      </c>
      <c r="F8" s="9" t="s">
        <v>701</v>
      </c>
      <c r="G8" s="9" t="s">
        <v>677</v>
      </c>
      <c r="H8" s="9" t="s">
        <v>687</v>
      </c>
      <c r="I8" s="9" t="s">
        <v>702</v>
      </c>
      <c r="J8" s="25" t="s">
        <v>703</v>
      </c>
      <c r="K8" s="9" t="s">
        <v>704</v>
      </c>
      <c r="L8" s="16">
        <v>46247.371527777781</v>
      </c>
      <c r="M8" s="9" t="s">
        <v>705</v>
      </c>
      <c r="N8" s="9" t="s">
        <v>683</v>
      </c>
    </row>
    <row r="9" spans="1:14" ht="24" customHeight="1">
      <c r="A9" s="9" t="s">
        <v>706</v>
      </c>
      <c r="B9" s="16">
        <v>46247.359722222223</v>
      </c>
      <c r="C9" s="9" t="s">
        <v>707</v>
      </c>
      <c r="D9" s="9" t="s">
        <v>278</v>
      </c>
      <c r="E9" s="9" t="s">
        <v>642</v>
      </c>
      <c r="F9" s="9" t="s">
        <v>708</v>
      </c>
      <c r="G9" s="9" t="s">
        <v>604</v>
      </c>
      <c r="H9" s="9" t="s">
        <v>709</v>
      </c>
      <c r="I9" s="9" t="s">
        <v>710</v>
      </c>
      <c r="J9" s="25" t="s">
        <v>711</v>
      </c>
      <c r="K9" s="9" t="s">
        <v>681</v>
      </c>
      <c r="L9" s="16"/>
      <c r="M9" s="9" t="s">
        <v>712</v>
      </c>
      <c r="N9" s="9" t="s">
        <v>683</v>
      </c>
    </row>
    <row r="10" spans="1:14" ht="24" customHeight="1">
      <c r="A10" s="9" t="s">
        <v>713</v>
      </c>
      <c r="B10" s="16">
        <v>46247.357638888891</v>
      </c>
      <c r="C10" s="9" t="s">
        <v>714</v>
      </c>
      <c r="D10" s="9" t="s">
        <v>81</v>
      </c>
      <c r="E10" s="9" t="s">
        <v>642</v>
      </c>
      <c r="F10" s="9" t="s">
        <v>715</v>
      </c>
      <c r="G10" s="9" t="s">
        <v>677</v>
      </c>
      <c r="H10" s="9" t="s">
        <v>687</v>
      </c>
      <c r="I10" s="9" t="s">
        <v>716</v>
      </c>
      <c r="J10" s="25" t="s">
        <v>717</v>
      </c>
      <c r="K10" s="9" t="s">
        <v>681</v>
      </c>
      <c r="L10" s="16"/>
      <c r="M10" s="9" t="s">
        <v>718</v>
      </c>
      <c r="N10" s="9" t="s">
        <v>683</v>
      </c>
    </row>
    <row r="11" spans="1:14" ht="24" customHeight="1">
      <c r="A11" s="9" t="s">
        <v>719</v>
      </c>
      <c r="B11" s="16">
        <v>46247.313888888886</v>
      </c>
      <c r="C11" s="9" t="s">
        <v>720</v>
      </c>
      <c r="D11" s="9" t="s">
        <v>81</v>
      </c>
      <c r="E11" s="9" t="s">
        <v>721</v>
      </c>
      <c r="F11" s="9" t="s">
        <v>722</v>
      </c>
      <c r="G11" s="9" t="s">
        <v>677</v>
      </c>
      <c r="H11" s="9" t="s">
        <v>687</v>
      </c>
      <c r="I11" s="9" t="s">
        <v>723</v>
      </c>
      <c r="J11" s="25" t="s">
        <v>724</v>
      </c>
      <c r="K11" s="9" t="s">
        <v>681</v>
      </c>
      <c r="L11" s="16"/>
      <c r="M11" s="9" t="s">
        <v>725</v>
      </c>
      <c r="N11" s="9" t="s">
        <v>683</v>
      </c>
    </row>
    <row r="12" spans="1:14" ht="24" customHeight="1">
      <c r="A12" s="9" t="s">
        <v>726</v>
      </c>
      <c r="B12" s="16">
        <v>46247.311805555553</v>
      </c>
      <c r="C12" s="9" t="s">
        <v>727</v>
      </c>
      <c r="D12" s="9" t="s">
        <v>81</v>
      </c>
      <c r="E12" s="9" t="s">
        <v>728</v>
      </c>
      <c r="F12" s="9" t="s">
        <v>729</v>
      </c>
      <c r="G12" s="9" t="s">
        <v>604</v>
      </c>
      <c r="H12" s="9" t="s">
        <v>709</v>
      </c>
      <c r="I12" s="9" t="s">
        <v>730</v>
      </c>
      <c r="J12" s="25" t="s">
        <v>731</v>
      </c>
      <c r="K12" s="9" t="s">
        <v>704</v>
      </c>
      <c r="L12" s="16">
        <v>46247.371527777781</v>
      </c>
      <c r="M12" s="9" t="s">
        <v>732</v>
      </c>
      <c r="N12" s="9" t="s">
        <v>733</v>
      </c>
    </row>
    <row r="13" spans="1:14" ht="24" customHeight="1">
      <c r="A13" s="9" t="s">
        <v>734</v>
      </c>
      <c r="B13" s="16">
        <v>46247.30972222222</v>
      </c>
      <c r="C13" s="9" t="s">
        <v>735</v>
      </c>
      <c r="D13" s="9" t="s">
        <v>79</v>
      </c>
      <c r="E13" s="9" t="s">
        <v>736</v>
      </c>
      <c r="F13" s="9" t="s">
        <v>737</v>
      </c>
      <c r="G13" s="9" t="s">
        <v>604</v>
      </c>
      <c r="H13" s="9" t="s">
        <v>738</v>
      </c>
      <c r="I13" s="9" t="s">
        <v>739</v>
      </c>
      <c r="J13" s="25" t="s">
        <v>740</v>
      </c>
      <c r="K13" s="9" t="s">
        <v>681</v>
      </c>
      <c r="L13" s="16"/>
      <c r="M13" s="9" t="s">
        <v>741</v>
      </c>
      <c r="N13" s="9" t="s">
        <v>742</v>
      </c>
    </row>
    <row r="14" spans="1:14" ht="24" customHeight="1">
      <c r="A14" s="9" t="s">
        <v>743</v>
      </c>
      <c r="B14" s="16">
        <v>46247.307638888888</v>
      </c>
      <c r="C14" s="9" t="s">
        <v>744</v>
      </c>
      <c r="D14" s="9" t="s">
        <v>278</v>
      </c>
      <c r="E14" s="9" t="s">
        <v>745</v>
      </c>
      <c r="F14" s="9" t="s">
        <v>746</v>
      </c>
      <c r="G14" s="9" t="s">
        <v>604</v>
      </c>
      <c r="H14" s="9" t="s">
        <v>747</v>
      </c>
      <c r="I14" s="9" t="s">
        <v>748</v>
      </c>
      <c r="J14" s="25" t="s">
        <v>749</v>
      </c>
      <c r="K14" s="9" t="s">
        <v>681</v>
      </c>
      <c r="L14" s="16"/>
      <c r="M14" s="9" t="s">
        <v>750</v>
      </c>
      <c r="N14" s="9" t="s">
        <v>751</v>
      </c>
    </row>
    <row r="15" spans="1:14" ht="24" customHeight="1">
      <c r="A15" s="9" t="s">
        <v>752</v>
      </c>
      <c r="B15" s="16">
        <v>46247.305555555555</v>
      </c>
      <c r="C15" s="9" t="s">
        <v>753</v>
      </c>
      <c r="D15" s="9" t="s">
        <v>278</v>
      </c>
      <c r="E15" s="9" t="s">
        <v>754</v>
      </c>
      <c r="F15" s="9" t="s">
        <v>755</v>
      </c>
      <c r="G15" s="9" t="s">
        <v>604</v>
      </c>
      <c r="H15" s="9" t="s">
        <v>756</v>
      </c>
      <c r="I15" s="9" t="s">
        <v>757</v>
      </c>
      <c r="J15" s="25" t="s">
        <v>758</v>
      </c>
      <c r="K15" s="9" t="s">
        <v>681</v>
      </c>
      <c r="L15" s="16"/>
      <c r="M15" s="9" t="s">
        <v>759</v>
      </c>
      <c r="N15" s="9" t="s">
        <v>760</v>
      </c>
    </row>
    <row r="16" spans="1:14" ht="24" customHeight="1">
      <c r="A16" s="9" t="s">
        <v>761</v>
      </c>
      <c r="B16" s="16">
        <v>46247.303472222222</v>
      </c>
      <c r="C16" s="9" t="s">
        <v>762</v>
      </c>
      <c r="D16" s="9" t="s">
        <v>79</v>
      </c>
      <c r="E16" s="9" t="s">
        <v>763</v>
      </c>
      <c r="F16" s="9" t="s">
        <v>764</v>
      </c>
      <c r="G16" s="9" t="s">
        <v>604</v>
      </c>
      <c r="H16" s="9" t="s">
        <v>765</v>
      </c>
      <c r="I16" s="9" t="s">
        <v>766</v>
      </c>
      <c r="J16" s="25" t="s">
        <v>767</v>
      </c>
      <c r="K16" s="9" t="s">
        <v>704</v>
      </c>
      <c r="L16" s="16">
        <v>46247.371527777781</v>
      </c>
      <c r="M16" s="9" t="s">
        <v>768</v>
      </c>
      <c r="N16" s="9" t="s">
        <v>769</v>
      </c>
    </row>
    <row r="17" spans="1:14" ht="24" customHeight="1">
      <c r="A17" s="9" t="s">
        <v>770</v>
      </c>
      <c r="B17" s="16">
        <v>46247.259722222225</v>
      </c>
      <c r="C17" s="9" t="s">
        <v>771</v>
      </c>
      <c r="D17" s="9" t="s">
        <v>81</v>
      </c>
      <c r="E17" s="9" t="s">
        <v>549</v>
      </c>
      <c r="F17" s="9" t="s">
        <v>117</v>
      </c>
      <c r="G17" s="9" t="s">
        <v>677</v>
      </c>
      <c r="H17" s="9" t="s">
        <v>687</v>
      </c>
      <c r="I17" s="9" t="s">
        <v>772</v>
      </c>
      <c r="J17" s="25" t="s">
        <v>380</v>
      </c>
      <c r="K17" s="9" t="s">
        <v>704</v>
      </c>
      <c r="L17" s="16">
        <v>46247.371527777781</v>
      </c>
      <c r="M17" s="9" t="s">
        <v>773</v>
      </c>
      <c r="N17" s="9" t="s">
        <v>774</v>
      </c>
    </row>
    <row r="18" spans="1:14" ht="24" customHeight="1">
      <c r="A18" s="9" t="s">
        <v>775</v>
      </c>
      <c r="B18" s="16">
        <v>46247.257638888892</v>
      </c>
      <c r="C18" s="9" t="s">
        <v>276</v>
      </c>
      <c r="D18" s="9" t="s">
        <v>278</v>
      </c>
      <c r="E18" s="9" t="s">
        <v>562</v>
      </c>
      <c r="F18" s="9" t="s">
        <v>275</v>
      </c>
      <c r="G18" s="9" t="s">
        <v>604</v>
      </c>
      <c r="H18" s="9" t="s">
        <v>776</v>
      </c>
      <c r="I18" s="9" t="s">
        <v>777</v>
      </c>
      <c r="J18" s="25" t="s">
        <v>778</v>
      </c>
      <c r="K18" s="9" t="s">
        <v>704</v>
      </c>
      <c r="L18" s="16">
        <v>46247.371527777781</v>
      </c>
      <c r="M18" s="9" t="s">
        <v>779</v>
      </c>
      <c r="N18" s="9" t="s">
        <v>780</v>
      </c>
    </row>
    <row r="19" spans="1:14" ht="24" customHeight="1">
      <c r="A19" s="9" t="s">
        <v>781</v>
      </c>
      <c r="B19" s="16">
        <v>46247.255555555559</v>
      </c>
      <c r="C19" s="9" t="s">
        <v>782</v>
      </c>
      <c r="D19" s="9" t="s">
        <v>278</v>
      </c>
      <c r="E19" s="9" t="s">
        <v>783</v>
      </c>
      <c r="F19" s="9" t="s">
        <v>443</v>
      </c>
      <c r="G19" s="9" t="s">
        <v>604</v>
      </c>
      <c r="H19" s="9" t="s">
        <v>784</v>
      </c>
      <c r="I19" s="9" t="s">
        <v>785</v>
      </c>
      <c r="J19" s="25" t="s">
        <v>786</v>
      </c>
      <c r="K19" s="9" t="s">
        <v>704</v>
      </c>
      <c r="L19" s="16">
        <v>46247.371527777781</v>
      </c>
      <c r="M19" s="9" t="s">
        <v>787</v>
      </c>
      <c r="N19" s="9" t="s">
        <v>788</v>
      </c>
    </row>
    <row r="20" spans="1:14" ht="24" customHeight="1">
      <c r="A20" s="9" t="s">
        <v>789</v>
      </c>
      <c r="B20" s="16">
        <v>46247.253472222219</v>
      </c>
      <c r="C20" s="9" t="s">
        <v>790</v>
      </c>
      <c r="D20" s="9" t="s">
        <v>278</v>
      </c>
      <c r="E20" s="9" t="s">
        <v>791</v>
      </c>
      <c r="F20" s="9" t="s">
        <v>792</v>
      </c>
      <c r="G20" s="9" t="s">
        <v>677</v>
      </c>
      <c r="H20" s="9" t="s">
        <v>687</v>
      </c>
      <c r="I20" s="9" t="s">
        <v>793</v>
      </c>
      <c r="J20" s="25" t="s">
        <v>794</v>
      </c>
      <c r="K20" s="9" t="s">
        <v>681</v>
      </c>
      <c r="L20" s="16"/>
      <c r="M20" s="9" t="s">
        <v>795</v>
      </c>
      <c r="N20" s="9" t="s">
        <v>683</v>
      </c>
    </row>
    <row r="21" spans="1:14" ht="24" customHeight="1">
      <c r="A21" s="9" t="s">
        <v>796</v>
      </c>
      <c r="B21" s="16">
        <v>46247.251388888886</v>
      </c>
      <c r="C21" s="9" t="s">
        <v>797</v>
      </c>
      <c r="D21" s="9" t="s">
        <v>81</v>
      </c>
      <c r="E21" s="9" t="s">
        <v>537</v>
      </c>
      <c r="F21" s="9" t="s">
        <v>798</v>
      </c>
      <c r="G21" s="9" t="s">
        <v>677</v>
      </c>
      <c r="H21" s="9" t="s">
        <v>687</v>
      </c>
      <c r="I21" s="9" t="s">
        <v>380</v>
      </c>
      <c r="J21" s="25" t="s">
        <v>799</v>
      </c>
      <c r="K21" s="9" t="s">
        <v>704</v>
      </c>
      <c r="L21" s="16">
        <v>46247.371527777781</v>
      </c>
      <c r="M21" s="9" t="s">
        <v>800</v>
      </c>
      <c r="N21" s="9" t="s">
        <v>801</v>
      </c>
    </row>
    <row r="22" spans="1:14" ht="24" customHeight="1">
      <c r="A22" s="12" t="s">
        <v>802</v>
      </c>
      <c r="B22" s="17">
        <v>46247.290972222225</v>
      </c>
      <c r="C22" s="12" t="s">
        <v>803</v>
      </c>
      <c r="D22" s="12" t="s">
        <v>804</v>
      </c>
      <c r="E22" s="12" t="s">
        <v>693</v>
      </c>
      <c r="F22" s="12" t="s">
        <v>805</v>
      </c>
      <c r="G22" s="12" t="s">
        <v>604</v>
      </c>
      <c r="H22" s="12" t="s">
        <v>695</v>
      </c>
      <c r="I22" s="12" t="s">
        <v>806</v>
      </c>
      <c r="J22" s="26" t="s">
        <v>807</v>
      </c>
      <c r="K22" s="12" t="s">
        <v>704</v>
      </c>
      <c r="L22" s="17">
        <v>46247.371527777781</v>
      </c>
      <c r="M22" s="12" t="s">
        <v>808</v>
      </c>
      <c r="N22" s="12" t="s">
        <v>809</v>
      </c>
    </row>
  </sheetData>
  <mergeCells count="2">
    <mergeCell ref="A1:N1"/>
    <mergeCell ref="A2:N2"/>
  </mergeCells>
  <conditionalFormatting sqref="D5:D22">
    <cfRule type="containsText" dxfId="39" priority="1" operator="containsText" text="CRITICAL"/>
    <cfRule type="containsText" dxfId="38" priority="28" operator="containsText" text="INFO"/>
    <cfRule type="containsText" dxfId="37" priority="8" operator="containsText" text="HIGH"/>
    <cfRule type="containsText" dxfId="36" priority="17" operator="containsText" text="ACTIVE"/>
  </conditionalFormatting>
  <conditionalFormatting sqref="K5:K22">
    <cfRule type="containsText" dxfId="35" priority="34" operator="containsText" text="CRITICAL"/>
    <cfRule type="containsText" dxfId="34" priority="41" operator="containsText" text="HIGH"/>
    <cfRule type="containsText" dxfId="33" priority="50" operator="containsText" text="ACTIVE"/>
    <cfRule type="containsText" dxfId="32" priority="61" operator="containsText" text="INFO"/>
  </conditionalFormatting>
  <dataValidations count="3">
    <dataValidation type="list" sqref="D5:D22" xr:uid="{00000000-0002-0000-0F00-000000000000}">
      <formula1>"INFO,WARNING,HIGH,CRITICAL"</formula1>
    </dataValidation>
    <dataValidation type="list" sqref="G5:G22" xr:uid="{00000000-0002-0000-0F00-000001000000}">
      <formula1>"ROLE,USER"</formula1>
    </dataValidation>
    <dataValidation type="list" sqref="K5:K22" xr:uid="{00000000-0002-0000-0F00-000002000000}">
      <formula1>"UNREAD,READ,ARCHIVED"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4"/>
  <sheetViews>
    <sheetView showGridLines="0" workbookViewId="0"/>
  </sheetViews>
  <sheetFormatPr defaultRowHeight="13.8"/>
  <cols>
    <col min="1" max="1" width="18" customWidth="1"/>
    <col min="2" max="2" width="20" customWidth="1"/>
    <col min="3" max="11" width="18" customWidth="1"/>
  </cols>
  <sheetData>
    <row r="1" spans="1:11" ht="31.95" customHeight="1">
      <c r="A1" s="42" t="s">
        <v>810</v>
      </c>
      <c r="B1" s="42" t="s">
        <v>810</v>
      </c>
      <c r="C1" s="42" t="s">
        <v>810</v>
      </c>
      <c r="D1" s="42" t="s">
        <v>810</v>
      </c>
      <c r="E1" s="42" t="s">
        <v>810</v>
      </c>
      <c r="F1" s="42" t="s">
        <v>810</v>
      </c>
      <c r="G1" s="42" t="s">
        <v>810</v>
      </c>
      <c r="H1" s="42" t="s">
        <v>810</v>
      </c>
      <c r="I1" s="42" t="s">
        <v>810</v>
      </c>
      <c r="J1" s="42" t="s">
        <v>810</v>
      </c>
      <c r="K1" s="42" t="s">
        <v>810</v>
      </c>
    </row>
    <row r="2" spans="1:11" ht="28.05" customHeight="1">
      <c r="A2" s="43" t="s">
        <v>811</v>
      </c>
      <c r="B2" s="43" t="s">
        <v>811</v>
      </c>
      <c r="C2" s="43" t="s">
        <v>811</v>
      </c>
      <c r="D2" s="43" t="s">
        <v>811</v>
      </c>
      <c r="E2" s="43" t="s">
        <v>811</v>
      </c>
      <c r="F2" s="43" t="s">
        <v>811</v>
      </c>
      <c r="G2" s="43" t="s">
        <v>811</v>
      </c>
      <c r="H2" s="43" t="s">
        <v>811</v>
      </c>
      <c r="I2" s="43" t="s">
        <v>811</v>
      </c>
      <c r="J2" s="43" t="s">
        <v>811</v>
      </c>
      <c r="K2" s="43" t="s">
        <v>811</v>
      </c>
    </row>
    <row r="4" spans="1:11" ht="30" customHeight="1">
      <c r="A4" s="5" t="s">
        <v>638</v>
      </c>
      <c r="B4" s="5" t="s">
        <v>453</v>
      </c>
      <c r="C4" s="5" t="s">
        <v>812</v>
      </c>
      <c r="D4" s="5" t="s">
        <v>813</v>
      </c>
      <c r="E4" s="5" t="s">
        <v>814</v>
      </c>
      <c r="F4" s="5" t="s">
        <v>634</v>
      </c>
      <c r="G4" s="5" t="s">
        <v>668</v>
      </c>
      <c r="H4" s="5" t="s">
        <v>815</v>
      </c>
      <c r="I4" s="5" t="s">
        <v>816</v>
      </c>
      <c r="J4" s="5" t="s">
        <v>460</v>
      </c>
      <c r="K4" s="5" t="s">
        <v>817</v>
      </c>
    </row>
    <row r="5" spans="1:11" ht="24" customHeight="1">
      <c r="A5" s="6" t="s">
        <v>644</v>
      </c>
      <c r="B5" s="15">
        <v>46247.322222222225</v>
      </c>
      <c r="C5" s="6" t="s">
        <v>604</v>
      </c>
      <c r="D5" s="6" t="s">
        <v>582</v>
      </c>
      <c r="E5" s="6" t="s">
        <v>818</v>
      </c>
      <c r="F5" s="6" t="s">
        <v>554</v>
      </c>
      <c r="G5" s="6" t="s">
        <v>555</v>
      </c>
      <c r="H5" s="6" t="s">
        <v>464</v>
      </c>
      <c r="I5" s="6" t="s">
        <v>819</v>
      </c>
      <c r="J5" s="6" t="s">
        <v>820</v>
      </c>
      <c r="K5" s="6" t="s">
        <v>821</v>
      </c>
    </row>
    <row r="6" spans="1:11" ht="24" customHeight="1">
      <c r="A6" s="9" t="s">
        <v>648</v>
      </c>
      <c r="B6" s="16">
        <v>46247.320833333331</v>
      </c>
      <c r="C6" s="9" t="s">
        <v>604</v>
      </c>
      <c r="D6" s="9" t="s">
        <v>586</v>
      </c>
      <c r="E6" s="9" t="s">
        <v>822</v>
      </c>
      <c r="F6" s="9" t="s">
        <v>537</v>
      </c>
      <c r="G6" s="9" t="s">
        <v>538</v>
      </c>
      <c r="H6" s="9" t="s">
        <v>464</v>
      </c>
      <c r="I6" s="9" t="s">
        <v>823</v>
      </c>
      <c r="J6" s="9" t="s">
        <v>824</v>
      </c>
      <c r="K6" s="9" t="s">
        <v>825</v>
      </c>
    </row>
    <row r="7" spans="1:11" ht="24" customHeight="1">
      <c r="A7" s="9" t="s">
        <v>653</v>
      </c>
      <c r="B7" s="16">
        <v>46247.319444444445</v>
      </c>
      <c r="C7" s="9" t="s">
        <v>826</v>
      </c>
      <c r="D7" s="9" t="s">
        <v>774</v>
      </c>
      <c r="E7" s="9" t="s">
        <v>827</v>
      </c>
      <c r="F7" s="9" t="s">
        <v>537</v>
      </c>
      <c r="G7" s="9" t="s">
        <v>798</v>
      </c>
      <c r="H7" s="9" t="s">
        <v>464</v>
      </c>
      <c r="I7" s="9" t="s">
        <v>828</v>
      </c>
      <c r="J7" s="9" t="s">
        <v>829</v>
      </c>
      <c r="K7" s="9" t="s">
        <v>830</v>
      </c>
    </row>
    <row r="8" spans="1:11" ht="24" customHeight="1">
      <c r="A8" s="9" t="s">
        <v>658</v>
      </c>
      <c r="B8" s="16">
        <v>46247.318055555559</v>
      </c>
      <c r="C8" s="9" t="s">
        <v>604</v>
      </c>
      <c r="D8" s="9" t="s">
        <v>765</v>
      </c>
      <c r="E8" s="9" t="s">
        <v>818</v>
      </c>
      <c r="F8" s="9" t="s">
        <v>831</v>
      </c>
      <c r="G8" s="9" t="s">
        <v>832</v>
      </c>
      <c r="H8" s="9" t="s">
        <v>464</v>
      </c>
      <c r="I8" s="9" t="s">
        <v>833</v>
      </c>
      <c r="J8" s="9" t="s">
        <v>834</v>
      </c>
      <c r="K8" s="9" t="s">
        <v>835</v>
      </c>
    </row>
    <row r="9" spans="1:11" ht="24" customHeight="1">
      <c r="A9" s="9" t="s">
        <v>663</v>
      </c>
      <c r="B9" s="16">
        <v>46247.316666666666</v>
      </c>
      <c r="C9" s="9" t="s">
        <v>604</v>
      </c>
      <c r="D9" s="9" t="s">
        <v>586</v>
      </c>
      <c r="E9" s="9" t="s">
        <v>836</v>
      </c>
      <c r="F9" s="9" t="s">
        <v>745</v>
      </c>
      <c r="G9" s="9" t="s">
        <v>837</v>
      </c>
      <c r="H9" s="9" t="s">
        <v>464</v>
      </c>
      <c r="I9" s="9" t="s">
        <v>838</v>
      </c>
      <c r="J9" s="9" t="s">
        <v>839</v>
      </c>
      <c r="K9" s="9" t="s">
        <v>840</v>
      </c>
    </row>
    <row r="10" spans="1:11" ht="24" customHeight="1">
      <c r="A10" s="9" t="s">
        <v>841</v>
      </c>
      <c r="B10" s="16">
        <v>46247.31527777778</v>
      </c>
      <c r="C10" s="9" t="s">
        <v>604</v>
      </c>
      <c r="D10" s="9" t="s">
        <v>784</v>
      </c>
      <c r="E10" s="9" t="s">
        <v>822</v>
      </c>
      <c r="F10" s="9" t="s">
        <v>728</v>
      </c>
      <c r="G10" s="9" t="s">
        <v>729</v>
      </c>
      <c r="H10" s="9" t="s">
        <v>464</v>
      </c>
      <c r="I10" s="9" t="s">
        <v>842</v>
      </c>
      <c r="J10" s="9" t="s">
        <v>843</v>
      </c>
      <c r="K10" s="9" t="s">
        <v>844</v>
      </c>
    </row>
    <row r="11" spans="1:11" ht="24" customHeight="1">
      <c r="A11" s="9" t="s">
        <v>845</v>
      </c>
      <c r="B11" s="16">
        <v>46247.272222222222</v>
      </c>
      <c r="C11" s="9" t="s">
        <v>826</v>
      </c>
      <c r="D11" s="9" t="s">
        <v>406</v>
      </c>
      <c r="E11" s="9" t="s">
        <v>846</v>
      </c>
      <c r="F11" s="9" t="s">
        <v>847</v>
      </c>
      <c r="G11" s="9" t="s">
        <v>848</v>
      </c>
      <c r="H11" s="9" t="s">
        <v>464</v>
      </c>
      <c r="I11" s="9" t="s">
        <v>849</v>
      </c>
      <c r="J11" s="9" t="s">
        <v>850</v>
      </c>
      <c r="K11" s="9" t="s">
        <v>851</v>
      </c>
    </row>
    <row r="12" spans="1:11" ht="24" customHeight="1">
      <c r="A12" s="9" t="s">
        <v>852</v>
      </c>
      <c r="B12" s="16">
        <v>46247.270833333336</v>
      </c>
      <c r="C12" s="9" t="s">
        <v>853</v>
      </c>
      <c r="D12" s="9" t="s">
        <v>854</v>
      </c>
      <c r="E12" s="9" t="s">
        <v>855</v>
      </c>
      <c r="F12" s="9" t="s">
        <v>604</v>
      </c>
      <c r="G12" s="9" t="s">
        <v>854</v>
      </c>
      <c r="H12" s="9" t="s">
        <v>592</v>
      </c>
      <c r="I12" s="9" t="s">
        <v>856</v>
      </c>
      <c r="J12" s="9" t="s">
        <v>857</v>
      </c>
      <c r="K12" s="9" t="s">
        <v>858</v>
      </c>
    </row>
    <row r="13" spans="1:11" ht="24" customHeight="1">
      <c r="A13" s="9" t="s">
        <v>859</v>
      </c>
      <c r="B13" s="16">
        <v>46247.269444444442</v>
      </c>
      <c r="C13" s="9" t="s">
        <v>604</v>
      </c>
      <c r="D13" s="9" t="s">
        <v>582</v>
      </c>
      <c r="E13" s="9" t="s">
        <v>860</v>
      </c>
      <c r="F13" s="9" t="s">
        <v>567</v>
      </c>
      <c r="G13" s="9" t="s">
        <v>861</v>
      </c>
      <c r="H13" s="9" t="s">
        <v>464</v>
      </c>
      <c r="I13" s="9" t="s">
        <v>819</v>
      </c>
      <c r="J13" s="9" t="s">
        <v>862</v>
      </c>
      <c r="K13" s="9" t="s">
        <v>863</v>
      </c>
    </row>
    <row r="14" spans="1:11" ht="24" customHeight="1">
      <c r="A14" s="9" t="s">
        <v>864</v>
      </c>
      <c r="B14" s="16">
        <v>46247.268055555556</v>
      </c>
      <c r="C14" s="9" t="s">
        <v>604</v>
      </c>
      <c r="D14" s="9" t="s">
        <v>591</v>
      </c>
      <c r="E14" s="9" t="s">
        <v>818</v>
      </c>
      <c r="F14" s="9" t="s">
        <v>721</v>
      </c>
      <c r="G14" s="9" t="s">
        <v>865</v>
      </c>
      <c r="H14" s="9" t="s">
        <v>464</v>
      </c>
      <c r="I14" s="9" t="s">
        <v>866</v>
      </c>
      <c r="J14" s="9" t="s">
        <v>867</v>
      </c>
      <c r="K14" s="9" t="s">
        <v>868</v>
      </c>
    </row>
    <row r="15" spans="1:11" ht="24" customHeight="1">
      <c r="A15" s="9" t="s">
        <v>869</v>
      </c>
      <c r="B15" s="16">
        <v>46247.26666666667</v>
      </c>
      <c r="C15" s="9" t="s">
        <v>604</v>
      </c>
      <c r="D15" s="9" t="s">
        <v>586</v>
      </c>
      <c r="E15" s="9" t="s">
        <v>870</v>
      </c>
      <c r="F15" s="9" t="s">
        <v>537</v>
      </c>
      <c r="G15" s="9" t="s">
        <v>871</v>
      </c>
      <c r="H15" s="9" t="s">
        <v>464</v>
      </c>
      <c r="I15" s="9" t="s">
        <v>823</v>
      </c>
      <c r="J15" s="9" t="s">
        <v>872</v>
      </c>
      <c r="K15" s="9" t="s">
        <v>873</v>
      </c>
    </row>
    <row r="16" spans="1:11" ht="24" customHeight="1">
      <c r="A16" s="9" t="s">
        <v>874</v>
      </c>
      <c r="B16" s="16">
        <v>46247.265277777777</v>
      </c>
      <c r="C16" s="9" t="s">
        <v>826</v>
      </c>
      <c r="D16" s="9" t="s">
        <v>875</v>
      </c>
      <c r="E16" s="9" t="s">
        <v>876</v>
      </c>
      <c r="F16" s="9" t="s">
        <v>877</v>
      </c>
      <c r="G16" s="9" t="s">
        <v>878</v>
      </c>
      <c r="H16" s="9" t="s">
        <v>464</v>
      </c>
      <c r="I16" s="9" t="s">
        <v>828</v>
      </c>
      <c r="J16" s="9" t="s">
        <v>879</v>
      </c>
      <c r="K16" s="9" t="s">
        <v>880</v>
      </c>
    </row>
    <row r="17" spans="1:11" ht="24" customHeight="1">
      <c r="A17" s="9" t="s">
        <v>881</v>
      </c>
      <c r="B17" s="16">
        <v>46247.222222222219</v>
      </c>
      <c r="C17" s="9" t="s">
        <v>826</v>
      </c>
      <c r="D17" s="9" t="s">
        <v>683</v>
      </c>
      <c r="E17" s="9" t="s">
        <v>882</v>
      </c>
      <c r="F17" s="9" t="s">
        <v>537</v>
      </c>
      <c r="G17" s="9" t="s">
        <v>686</v>
      </c>
      <c r="H17" s="9" t="s">
        <v>464</v>
      </c>
      <c r="I17" s="9" t="s">
        <v>828</v>
      </c>
      <c r="J17" s="9" t="s">
        <v>883</v>
      </c>
      <c r="K17" s="9" t="s">
        <v>884</v>
      </c>
    </row>
    <row r="18" spans="1:11" ht="24" customHeight="1">
      <c r="A18" s="9" t="s">
        <v>885</v>
      </c>
      <c r="B18" s="16">
        <v>46247.220833333333</v>
      </c>
      <c r="C18" s="9" t="s">
        <v>826</v>
      </c>
      <c r="D18" s="9" t="s">
        <v>683</v>
      </c>
      <c r="E18" s="9" t="s">
        <v>886</v>
      </c>
      <c r="F18" s="9" t="s">
        <v>693</v>
      </c>
      <c r="G18" s="9" t="s">
        <v>694</v>
      </c>
      <c r="H18" s="9" t="s">
        <v>464</v>
      </c>
      <c r="I18" s="9" t="s">
        <v>828</v>
      </c>
      <c r="J18" s="9" t="s">
        <v>887</v>
      </c>
      <c r="K18" s="9" t="s">
        <v>888</v>
      </c>
    </row>
    <row r="19" spans="1:11" ht="24" customHeight="1">
      <c r="A19" s="9" t="s">
        <v>889</v>
      </c>
      <c r="B19" s="16">
        <v>46247.219444444447</v>
      </c>
      <c r="C19" s="9" t="s">
        <v>826</v>
      </c>
      <c r="D19" s="9" t="s">
        <v>683</v>
      </c>
      <c r="E19" s="9" t="s">
        <v>890</v>
      </c>
      <c r="F19" s="9" t="s">
        <v>642</v>
      </c>
      <c r="G19" s="9" t="s">
        <v>715</v>
      </c>
      <c r="H19" s="9" t="s">
        <v>464</v>
      </c>
      <c r="I19" s="9" t="s">
        <v>828</v>
      </c>
      <c r="J19" s="9" t="s">
        <v>891</v>
      </c>
      <c r="K19" s="9" t="s">
        <v>892</v>
      </c>
    </row>
    <row r="20" spans="1:11" ht="24" customHeight="1">
      <c r="A20" s="9" t="s">
        <v>893</v>
      </c>
      <c r="B20" s="16">
        <v>46247.218055555553</v>
      </c>
      <c r="C20" s="9" t="s">
        <v>826</v>
      </c>
      <c r="D20" s="9" t="s">
        <v>683</v>
      </c>
      <c r="E20" s="9" t="s">
        <v>894</v>
      </c>
      <c r="F20" s="9" t="s">
        <v>721</v>
      </c>
      <c r="G20" s="9" t="s">
        <v>722</v>
      </c>
      <c r="H20" s="9" t="s">
        <v>464</v>
      </c>
      <c r="I20" s="9" t="s">
        <v>828</v>
      </c>
      <c r="J20" s="9" t="s">
        <v>895</v>
      </c>
      <c r="K20" s="9" t="s">
        <v>896</v>
      </c>
    </row>
    <row r="21" spans="1:11" ht="24" customHeight="1">
      <c r="A21" s="9" t="s">
        <v>897</v>
      </c>
      <c r="B21" s="16">
        <v>46247.216666666667</v>
      </c>
      <c r="C21" s="9" t="s">
        <v>604</v>
      </c>
      <c r="D21" s="9" t="s">
        <v>709</v>
      </c>
      <c r="E21" s="9" t="s">
        <v>898</v>
      </c>
      <c r="F21" s="9" t="s">
        <v>642</v>
      </c>
      <c r="G21" s="9" t="s">
        <v>899</v>
      </c>
      <c r="H21" s="9" t="s">
        <v>464</v>
      </c>
      <c r="I21" s="9" t="s">
        <v>842</v>
      </c>
      <c r="J21" s="9" t="s">
        <v>900</v>
      </c>
      <c r="K21" s="9" t="s">
        <v>901</v>
      </c>
    </row>
    <row r="22" spans="1:11" ht="24" customHeight="1">
      <c r="A22" s="9" t="s">
        <v>902</v>
      </c>
      <c r="B22" s="16">
        <v>46247.215277777781</v>
      </c>
      <c r="C22" s="9" t="s">
        <v>826</v>
      </c>
      <c r="D22" s="9" t="s">
        <v>788</v>
      </c>
      <c r="E22" s="9" t="s">
        <v>903</v>
      </c>
      <c r="F22" s="9" t="s">
        <v>783</v>
      </c>
      <c r="G22" s="9" t="s">
        <v>443</v>
      </c>
      <c r="H22" s="9" t="s">
        <v>464</v>
      </c>
      <c r="I22" s="9" t="s">
        <v>828</v>
      </c>
      <c r="J22" s="9" t="s">
        <v>904</v>
      </c>
      <c r="K22" s="9" t="s">
        <v>905</v>
      </c>
    </row>
    <row r="23" spans="1:11" ht="24" customHeight="1">
      <c r="A23" s="9" t="s">
        <v>906</v>
      </c>
      <c r="B23" s="16">
        <v>46247.172222222223</v>
      </c>
      <c r="C23" s="9" t="s">
        <v>604</v>
      </c>
      <c r="D23" s="9" t="s">
        <v>738</v>
      </c>
      <c r="E23" s="9" t="s">
        <v>907</v>
      </c>
      <c r="F23" s="9" t="s">
        <v>537</v>
      </c>
      <c r="G23" s="9" t="s">
        <v>908</v>
      </c>
      <c r="H23" s="9" t="s">
        <v>464</v>
      </c>
      <c r="I23" s="9" t="s">
        <v>909</v>
      </c>
      <c r="J23" s="9" t="s">
        <v>910</v>
      </c>
      <c r="K23" s="9" t="s">
        <v>911</v>
      </c>
    </row>
    <row r="24" spans="1:11" ht="24" customHeight="1">
      <c r="A24" s="12" t="s">
        <v>912</v>
      </c>
      <c r="B24" s="17">
        <v>46247.17083333333</v>
      </c>
      <c r="C24" s="12" t="s">
        <v>826</v>
      </c>
      <c r="D24" s="12" t="s">
        <v>683</v>
      </c>
      <c r="E24" s="12" t="s">
        <v>886</v>
      </c>
      <c r="F24" s="12" t="s">
        <v>642</v>
      </c>
      <c r="G24" s="12" t="s">
        <v>708</v>
      </c>
      <c r="H24" s="12" t="s">
        <v>503</v>
      </c>
      <c r="I24" s="12" t="s">
        <v>828</v>
      </c>
      <c r="J24" s="12" t="s">
        <v>913</v>
      </c>
      <c r="K24" s="12" t="s">
        <v>914</v>
      </c>
    </row>
  </sheetData>
  <mergeCells count="2">
    <mergeCell ref="A1:K1"/>
    <mergeCell ref="A2:K2"/>
  </mergeCells>
  <conditionalFormatting sqref="H5:H24">
    <cfRule type="containsText" dxfId="31" priority="1" operator="containsText" text="CRITICAL"/>
    <cfRule type="containsText" dxfId="30" priority="8" operator="containsText" text="HIGH"/>
    <cfRule type="containsText" dxfId="29" priority="17" operator="containsText" text="ACTIVE"/>
    <cfRule type="containsText" dxfId="28" priority="28" operator="containsText" text="INFO"/>
  </conditionalFormatting>
  <dataValidations count="2">
    <dataValidation type="list" sqref="C5:C24" xr:uid="{00000000-0002-0000-1000-000000000000}">
      <formula1>"USER,SERVICE,UNKNOWN"</formula1>
    </dataValidation>
    <dataValidation type="list" sqref="H5:H24" xr:uid="{00000000-0002-0000-1000-000001000000}">
      <formula1>"SUCCESS,FAILED,DENIED"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2"/>
  <sheetViews>
    <sheetView showGridLines="0" workbookViewId="0"/>
  </sheetViews>
  <sheetFormatPr defaultRowHeight="13.8"/>
  <cols>
    <col min="1" max="1" width="18" customWidth="1"/>
    <col min="2" max="2" width="20" customWidth="1"/>
    <col min="3" max="6" width="18" customWidth="1"/>
    <col min="7" max="7" width="13" customWidth="1"/>
    <col min="8" max="10" width="18" customWidth="1"/>
  </cols>
  <sheetData>
    <row r="1" spans="1:10" ht="31.95" customHeight="1">
      <c r="A1" s="42" t="s">
        <v>915</v>
      </c>
      <c r="B1" s="42" t="s">
        <v>915</v>
      </c>
      <c r="C1" s="42" t="s">
        <v>915</v>
      </c>
      <c r="D1" s="42" t="s">
        <v>915</v>
      </c>
      <c r="E1" s="42" t="s">
        <v>915</v>
      </c>
      <c r="F1" s="42" t="s">
        <v>915</v>
      </c>
      <c r="G1" s="42" t="s">
        <v>915</v>
      </c>
      <c r="H1" s="42" t="s">
        <v>915</v>
      </c>
      <c r="I1" s="42" t="s">
        <v>915</v>
      </c>
      <c r="J1" s="42" t="s">
        <v>915</v>
      </c>
    </row>
    <row r="2" spans="1:10" ht="28.05" customHeight="1">
      <c r="A2" s="43" t="s">
        <v>916</v>
      </c>
      <c r="B2" s="43" t="s">
        <v>916</v>
      </c>
      <c r="C2" s="43" t="s">
        <v>916</v>
      </c>
      <c r="D2" s="43" t="s">
        <v>916</v>
      </c>
      <c r="E2" s="43" t="s">
        <v>916</v>
      </c>
      <c r="F2" s="43" t="s">
        <v>916</v>
      </c>
      <c r="G2" s="43" t="s">
        <v>916</v>
      </c>
      <c r="H2" s="43" t="s">
        <v>916</v>
      </c>
      <c r="I2" s="43" t="s">
        <v>916</v>
      </c>
      <c r="J2" s="43" t="s">
        <v>916</v>
      </c>
    </row>
    <row r="4" spans="1:10" ht="30" customHeight="1">
      <c r="A4" s="5" t="s">
        <v>917</v>
      </c>
      <c r="B4" s="5" t="s">
        <v>453</v>
      </c>
      <c r="C4" s="5" t="s">
        <v>269</v>
      </c>
      <c r="D4" s="5" t="s">
        <v>272</v>
      </c>
      <c r="E4" s="5" t="s">
        <v>918</v>
      </c>
      <c r="F4" s="5" t="s">
        <v>816</v>
      </c>
      <c r="G4" s="5" t="s">
        <v>919</v>
      </c>
      <c r="H4" s="5" t="s">
        <v>96</v>
      </c>
      <c r="I4" s="5" t="s">
        <v>273</v>
      </c>
      <c r="J4" s="5" t="s">
        <v>460</v>
      </c>
    </row>
    <row r="5" spans="1:10" ht="24" customHeight="1">
      <c r="A5" s="6" t="s">
        <v>920</v>
      </c>
      <c r="B5" s="15">
        <v>46247.055555555555</v>
      </c>
      <c r="C5" s="6" t="s">
        <v>921</v>
      </c>
      <c r="D5" s="6" t="s">
        <v>283</v>
      </c>
      <c r="E5" s="6"/>
      <c r="F5" s="6" t="s">
        <v>856</v>
      </c>
      <c r="G5" s="18">
        <v>45</v>
      </c>
      <c r="H5" s="6" t="s">
        <v>922</v>
      </c>
      <c r="I5" s="6" t="s">
        <v>923</v>
      </c>
      <c r="J5" s="6" t="s">
        <v>924</v>
      </c>
    </row>
    <row r="6" spans="1:10" ht="24" customHeight="1">
      <c r="A6" s="9" t="s">
        <v>925</v>
      </c>
      <c r="B6" s="16">
        <v>46247.097222222219</v>
      </c>
      <c r="C6" s="9" t="s">
        <v>926</v>
      </c>
      <c r="D6" s="9" t="s">
        <v>278</v>
      </c>
      <c r="E6" s="9"/>
      <c r="F6" s="9" t="s">
        <v>856</v>
      </c>
      <c r="G6" s="19">
        <v>82</v>
      </c>
      <c r="H6" s="9" t="s">
        <v>927</v>
      </c>
      <c r="I6" s="9" t="s">
        <v>928</v>
      </c>
      <c r="J6" s="9" t="s">
        <v>929</v>
      </c>
    </row>
    <row r="7" spans="1:10" ht="24" customHeight="1">
      <c r="A7" s="9" t="s">
        <v>930</v>
      </c>
      <c r="B7" s="16">
        <v>46247.138888888891</v>
      </c>
      <c r="C7" s="9" t="s">
        <v>931</v>
      </c>
      <c r="D7" s="9" t="s">
        <v>932</v>
      </c>
      <c r="E7" s="9" t="s">
        <v>776</v>
      </c>
      <c r="F7" s="9" t="s">
        <v>933</v>
      </c>
      <c r="G7" s="19">
        <v>5</v>
      </c>
      <c r="H7" s="9" t="s">
        <v>382</v>
      </c>
      <c r="I7" s="9" t="s">
        <v>934</v>
      </c>
      <c r="J7" s="9" t="s">
        <v>935</v>
      </c>
    </row>
    <row r="8" spans="1:10" ht="24" customHeight="1">
      <c r="A8" s="9" t="s">
        <v>936</v>
      </c>
      <c r="B8" s="16">
        <v>46247.180555555555</v>
      </c>
      <c r="C8" s="9" t="s">
        <v>937</v>
      </c>
      <c r="D8" s="9" t="s">
        <v>283</v>
      </c>
      <c r="E8" s="9" t="s">
        <v>591</v>
      </c>
      <c r="F8" s="9" t="s">
        <v>933</v>
      </c>
      <c r="G8" s="19">
        <v>30</v>
      </c>
      <c r="H8" s="9" t="s">
        <v>382</v>
      </c>
      <c r="I8" s="9" t="s">
        <v>938</v>
      </c>
      <c r="J8" s="9" t="s">
        <v>939</v>
      </c>
    </row>
    <row r="9" spans="1:10" ht="24" customHeight="1">
      <c r="A9" s="9" t="s">
        <v>940</v>
      </c>
      <c r="B9" s="16">
        <v>46247.222222222219</v>
      </c>
      <c r="C9" s="9" t="s">
        <v>941</v>
      </c>
      <c r="D9" s="9" t="s">
        <v>278</v>
      </c>
      <c r="E9" s="9" t="s">
        <v>586</v>
      </c>
      <c r="F9" s="9" t="s">
        <v>933</v>
      </c>
      <c r="G9" s="19">
        <v>70</v>
      </c>
      <c r="H9" s="9" t="s">
        <v>927</v>
      </c>
      <c r="I9" s="9" t="s">
        <v>942</v>
      </c>
      <c r="J9" s="9" t="s">
        <v>943</v>
      </c>
    </row>
    <row r="10" spans="1:10" ht="24" customHeight="1">
      <c r="A10" s="9" t="s">
        <v>944</v>
      </c>
      <c r="B10" s="16">
        <v>46247.263888888891</v>
      </c>
      <c r="C10" s="9" t="s">
        <v>945</v>
      </c>
      <c r="D10" s="9" t="s">
        <v>283</v>
      </c>
      <c r="E10" s="9" t="s">
        <v>946</v>
      </c>
      <c r="F10" s="9" t="s">
        <v>828</v>
      </c>
      <c r="G10" s="19">
        <v>40</v>
      </c>
      <c r="H10" s="9" t="s">
        <v>382</v>
      </c>
      <c r="I10" s="9" t="s">
        <v>947</v>
      </c>
      <c r="J10" s="9" t="s">
        <v>948</v>
      </c>
    </row>
    <row r="11" spans="1:10" ht="24" customHeight="1">
      <c r="A11" s="9" t="s">
        <v>949</v>
      </c>
      <c r="B11" s="16">
        <v>46246.305555555555</v>
      </c>
      <c r="C11" s="9" t="s">
        <v>950</v>
      </c>
      <c r="D11" s="9" t="s">
        <v>283</v>
      </c>
      <c r="E11" s="9" t="s">
        <v>951</v>
      </c>
      <c r="F11" s="9" t="s">
        <v>828</v>
      </c>
      <c r="G11" s="19">
        <v>35</v>
      </c>
      <c r="H11" s="9" t="s">
        <v>382</v>
      </c>
      <c r="I11" s="9" t="s">
        <v>952</v>
      </c>
      <c r="J11" s="9" t="s">
        <v>953</v>
      </c>
    </row>
    <row r="12" spans="1:10" ht="24" customHeight="1">
      <c r="A12" s="12" t="s">
        <v>954</v>
      </c>
      <c r="B12" s="17">
        <v>46246.347222222219</v>
      </c>
      <c r="C12" s="12" t="s">
        <v>955</v>
      </c>
      <c r="D12" s="12" t="s">
        <v>804</v>
      </c>
      <c r="E12" s="12"/>
      <c r="F12" s="12" t="s">
        <v>828</v>
      </c>
      <c r="G12" s="20">
        <v>0</v>
      </c>
      <c r="H12" s="12" t="s">
        <v>382</v>
      </c>
      <c r="I12" s="12" t="s">
        <v>956</v>
      </c>
      <c r="J12" s="12" t="s">
        <v>957</v>
      </c>
    </row>
  </sheetData>
  <mergeCells count="2">
    <mergeCell ref="A1:J1"/>
    <mergeCell ref="A2:J2"/>
  </mergeCells>
  <conditionalFormatting sqref="D5:D12">
    <cfRule type="containsText" dxfId="27" priority="1" operator="containsText" text="CRITICAL"/>
    <cfRule type="containsText" dxfId="26" priority="28" operator="containsText" text="INFO"/>
    <cfRule type="containsText" dxfId="25" priority="8" operator="containsText" text="HIGH"/>
    <cfRule type="containsText" dxfId="24" priority="17" operator="containsText" text="ACTIVE"/>
  </conditionalFormatting>
  <conditionalFormatting sqref="H5:H12">
    <cfRule type="containsText" dxfId="23" priority="34" operator="containsText" text="CRITICAL"/>
    <cfRule type="containsText" dxfId="22" priority="41" operator="containsText" text="HIGH"/>
    <cfRule type="containsText" dxfId="21" priority="50" operator="containsText" text="ACTIVE"/>
    <cfRule type="containsText" dxfId="20" priority="61" operator="containsText" text="INFO"/>
  </conditionalFormatting>
  <dataValidations count="2">
    <dataValidation type="list" sqref="D5:D12" xr:uid="{00000000-0002-0000-1100-000000000000}">
      <formula1>"INFO,LOW,MEDIUM,HIGH,CRITICAL"</formula1>
    </dataValidation>
    <dataValidation type="list" sqref="H5:H12" xr:uid="{00000000-0002-0000-1100-000001000000}">
      <formula1>"NEW,INVESTIGATING,MITIGATED,APPROVED,CLOSED"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"/>
  <sheetViews>
    <sheetView showGridLines="0" workbookViewId="0"/>
  </sheetViews>
  <sheetFormatPr defaultRowHeight="13.8"/>
  <cols>
    <col min="1" max="1" width="18" customWidth="1"/>
    <col min="2" max="2" width="26" customWidth="1"/>
    <col min="3" max="5" width="18" customWidth="1"/>
    <col min="6" max="6" width="34" customWidth="1"/>
    <col min="7" max="7" width="28" customWidth="1"/>
    <col min="8" max="8" width="18" customWidth="1"/>
    <col min="9" max="9" width="13" customWidth="1"/>
    <col min="10" max="12" width="18" customWidth="1"/>
  </cols>
  <sheetData>
    <row r="1" spans="1:12" ht="31.95" customHeight="1">
      <c r="A1" s="42" t="s">
        <v>958</v>
      </c>
      <c r="B1" s="42" t="s">
        <v>958</v>
      </c>
      <c r="C1" s="42" t="s">
        <v>958</v>
      </c>
      <c r="D1" s="42" t="s">
        <v>958</v>
      </c>
      <c r="E1" s="42" t="s">
        <v>958</v>
      </c>
      <c r="F1" s="42" t="s">
        <v>958</v>
      </c>
      <c r="G1" s="42" t="s">
        <v>958</v>
      </c>
      <c r="H1" s="42" t="s">
        <v>958</v>
      </c>
      <c r="I1" s="42" t="s">
        <v>958</v>
      </c>
      <c r="J1" s="42" t="s">
        <v>958</v>
      </c>
      <c r="K1" s="42" t="s">
        <v>958</v>
      </c>
      <c r="L1" s="42" t="s">
        <v>958</v>
      </c>
    </row>
    <row r="2" spans="1:12" ht="28.05" customHeight="1">
      <c r="A2" s="43" t="s">
        <v>959</v>
      </c>
      <c r="B2" s="43" t="s">
        <v>959</v>
      </c>
      <c r="C2" s="43" t="s">
        <v>959</v>
      </c>
      <c r="D2" s="43" t="s">
        <v>959</v>
      </c>
      <c r="E2" s="43" t="s">
        <v>959</v>
      </c>
      <c r="F2" s="43" t="s">
        <v>959</v>
      </c>
      <c r="G2" s="43" t="s">
        <v>959</v>
      </c>
      <c r="H2" s="43" t="s">
        <v>959</v>
      </c>
      <c r="I2" s="43" t="s">
        <v>959</v>
      </c>
      <c r="J2" s="43" t="s">
        <v>959</v>
      </c>
      <c r="K2" s="43" t="s">
        <v>959</v>
      </c>
      <c r="L2" s="43" t="s">
        <v>959</v>
      </c>
    </row>
    <row r="4" spans="1:12" ht="30" customHeight="1">
      <c r="A4" s="5" t="s">
        <v>960</v>
      </c>
      <c r="B4" s="5" t="s">
        <v>961</v>
      </c>
      <c r="C4" s="5" t="s">
        <v>634</v>
      </c>
      <c r="D4" s="5" t="s">
        <v>962</v>
      </c>
      <c r="E4" s="5" t="s">
        <v>963</v>
      </c>
      <c r="F4" s="5" t="s">
        <v>964</v>
      </c>
      <c r="G4" s="5" t="s">
        <v>965</v>
      </c>
      <c r="H4" s="5" t="s">
        <v>272</v>
      </c>
      <c r="I4" s="5" t="s">
        <v>966</v>
      </c>
      <c r="J4" s="5" t="s">
        <v>967</v>
      </c>
      <c r="K4" s="5" t="s">
        <v>968</v>
      </c>
      <c r="L4" s="5" t="s">
        <v>969</v>
      </c>
    </row>
    <row r="5" spans="1:12" ht="24" customHeight="1">
      <c r="A5" s="6" t="s">
        <v>970</v>
      </c>
      <c r="B5" s="6" t="s">
        <v>971</v>
      </c>
      <c r="C5" s="6" t="s">
        <v>537</v>
      </c>
      <c r="D5" s="6" t="s">
        <v>972</v>
      </c>
      <c r="E5" s="6" t="s">
        <v>973</v>
      </c>
      <c r="F5" s="24" t="s">
        <v>974</v>
      </c>
      <c r="G5" s="6" t="s">
        <v>975</v>
      </c>
      <c r="H5" s="6" t="s">
        <v>81</v>
      </c>
      <c r="I5" s="27" t="b">
        <v>1</v>
      </c>
      <c r="J5" s="6" t="s">
        <v>62</v>
      </c>
      <c r="K5" s="6" t="s">
        <v>976</v>
      </c>
      <c r="L5" s="6" t="s">
        <v>977</v>
      </c>
    </row>
    <row r="6" spans="1:12" ht="24" customHeight="1">
      <c r="A6" s="9" t="s">
        <v>978</v>
      </c>
      <c r="B6" s="9" t="s">
        <v>979</v>
      </c>
      <c r="C6" s="9" t="s">
        <v>693</v>
      </c>
      <c r="D6" s="9" t="s">
        <v>980</v>
      </c>
      <c r="E6" s="9" t="s">
        <v>973</v>
      </c>
      <c r="F6" s="25" t="s">
        <v>981</v>
      </c>
      <c r="G6" s="9" t="s">
        <v>982</v>
      </c>
      <c r="H6" s="9" t="s">
        <v>79</v>
      </c>
      <c r="I6" s="28" t="b">
        <v>1</v>
      </c>
      <c r="J6" s="9" t="s">
        <v>62</v>
      </c>
      <c r="K6" s="9" t="s">
        <v>983</v>
      </c>
      <c r="L6" s="9" t="s">
        <v>984</v>
      </c>
    </row>
    <row r="7" spans="1:12" ht="24" customHeight="1">
      <c r="A7" s="9" t="s">
        <v>985</v>
      </c>
      <c r="B7" s="9" t="s">
        <v>986</v>
      </c>
      <c r="C7" s="9" t="s">
        <v>642</v>
      </c>
      <c r="D7" s="9" t="s">
        <v>987</v>
      </c>
      <c r="E7" s="9" t="s">
        <v>973</v>
      </c>
      <c r="F7" s="25" t="s">
        <v>988</v>
      </c>
      <c r="G7" s="9" t="s">
        <v>989</v>
      </c>
      <c r="H7" s="9" t="s">
        <v>278</v>
      </c>
      <c r="I7" s="28" t="b">
        <v>1</v>
      </c>
      <c r="J7" s="9" t="s">
        <v>62</v>
      </c>
      <c r="K7" s="9" t="s">
        <v>990</v>
      </c>
      <c r="L7" s="9" t="s">
        <v>991</v>
      </c>
    </row>
    <row r="8" spans="1:12" ht="24" customHeight="1">
      <c r="A8" s="9" t="s">
        <v>992</v>
      </c>
      <c r="B8" s="9" t="s">
        <v>993</v>
      </c>
      <c r="C8" s="9" t="s">
        <v>721</v>
      </c>
      <c r="D8" s="9" t="s">
        <v>994</v>
      </c>
      <c r="E8" s="9" t="s">
        <v>973</v>
      </c>
      <c r="F8" s="25" t="s">
        <v>995</v>
      </c>
      <c r="G8" s="9" t="s">
        <v>996</v>
      </c>
      <c r="H8" s="9" t="s">
        <v>81</v>
      </c>
      <c r="I8" s="28" t="b">
        <v>1</v>
      </c>
      <c r="J8" s="9" t="s">
        <v>62</v>
      </c>
      <c r="K8" s="9" t="s">
        <v>997</v>
      </c>
      <c r="L8" s="9" t="s">
        <v>984</v>
      </c>
    </row>
    <row r="9" spans="1:12" ht="24" customHeight="1">
      <c r="A9" s="9" t="s">
        <v>998</v>
      </c>
      <c r="B9" s="9" t="s">
        <v>999</v>
      </c>
      <c r="C9" s="9" t="s">
        <v>728</v>
      </c>
      <c r="D9" s="9" t="s">
        <v>1000</v>
      </c>
      <c r="E9" s="9" t="s">
        <v>973</v>
      </c>
      <c r="F9" s="25" t="s">
        <v>1001</v>
      </c>
      <c r="G9" s="9" t="s">
        <v>982</v>
      </c>
      <c r="H9" s="9" t="s">
        <v>79</v>
      </c>
      <c r="I9" s="28" t="b">
        <v>0</v>
      </c>
      <c r="J9" s="9" t="s">
        <v>1002</v>
      </c>
      <c r="K9" s="9" t="s">
        <v>997</v>
      </c>
      <c r="L9" s="9" t="s">
        <v>984</v>
      </c>
    </row>
    <row r="10" spans="1:12" ht="24" customHeight="1">
      <c r="A10" s="9" t="s">
        <v>1003</v>
      </c>
      <c r="B10" s="9" t="s">
        <v>1004</v>
      </c>
      <c r="C10" s="9" t="s">
        <v>745</v>
      </c>
      <c r="D10" s="9" t="s">
        <v>1005</v>
      </c>
      <c r="E10" s="9" t="s">
        <v>973</v>
      </c>
      <c r="F10" s="25" t="s">
        <v>1006</v>
      </c>
      <c r="G10" s="9" t="s">
        <v>982</v>
      </c>
      <c r="H10" s="9" t="s">
        <v>278</v>
      </c>
      <c r="I10" s="28" t="b">
        <v>0</v>
      </c>
      <c r="J10" s="9" t="s">
        <v>1002</v>
      </c>
      <c r="K10" s="9" t="s">
        <v>976</v>
      </c>
      <c r="L10" s="9" t="s">
        <v>1007</v>
      </c>
    </row>
    <row r="11" spans="1:12" ht="24" customHeight="1">
      <c r="A11" s="9" t="s">
        <v>1008</v>
      </c>
      <c r="B11" s="9" t="s">
        <v>1009</v>
      </c>
      <c r="C11" s="9" t="s">
        <v>754</v>
      </c>
      <c r="D11" s="9" t="s">
        <v>1010</v>
      </c>
      <c r="E11" s="9" t="s">
        <v>973</v>
      </c>
      <c r="F11" s="25" t="s">
        <v>1011</v>
      </c>
      <c r="G11" s="9" t="s">
        <v>982</v>
      </c>
      <c r="H11" s="9" t="s">
        <v>278</v>
      </c>
      <c r="I11" s="28" t="b">
        <v>0</v>
      </c>
      <c r="J11" s="9" t="s">
        <v>1002</v>
      </c>
      <c r="K11" s="9" t="s">
        <v>997</v>
      </c>
      <c r="L11" s="9" t="s">
        <v>984</v>
      </c>
    </row>
    <row r="12" spans="1:12" ht="24" customHeight="1">
      <c r="A12" s="12" t="s">
        <v>1012</v>
      </c>
      <c r="B12" s="12" t="s">
        <v>1013</v>
      </c>
      <c r="C12" s="12" t="s">
        <v>763</v>
      </c>
      <c r="D12" s="12" t="s">
        <v>1014</v>
      </c>
      <c r="E12" s="12" t="s">
        <v>973</v>
      </c>
      <c r="F12" s="26" t="s">
        <v>1015</v>
      </c>
      <c r="G12" s="12" t="s">
        <v>982</v>
      </c>
      <c r="H12" s="12" t="s">
        <v>79</v>
      </c>
      <c r="I12" s="29" t="b">
        <v>0</v>
      </c>
      <c r="J12" s="12" t="s">
        <v>1002</v>
      </c>
      <c r="K12" s="12" t="s">
        <v>976</v>
      </c>
      <c r="L12" s="12" t="s">
        <v>984</v>
      </c>
    </row>
  </sheetData>
  <mergeCells count="2">
    <mergeCell ref="A1:L1"/>
    <mergeCell ref="A2:L2"/>
  </mergeCells>
  <conditionalFormatting sqref="H5:H12">
    <cfRule type="containsText" dxfId="19" priority="1" operator="containsText" text="CRITICAL"/>
    <cfRule type="containsText" dxfId="18" priority="28" operator="containsText" text="INFO"/>
    <cfRule type="containsText" dxfId="17" priority="8" operator="containsText" text="HIGH"/>
    <cfRule type="containsText" dxfId="16" priority="17" operator="containsText" text="ACTIVE"/>
  </conditionalFormatting>
  <conditionalFormatting sqref="I5:I12">
    <cfRule type="containsText" dxfId="15" priority="34" operator="containsText" text="CRITICAL"/>
    <cfRule type="containsText" dxfId="14" priority="41" operator="containsText" text="HIGH"/>
    <cfRule type="containsText" dxfId="13" priority="50" operator="containsText" text="ACTIVE"/>
    <cfRule type="containsText" dxfId="12" priority="61" operator="containsText" text="INFO"/>
  </conditionalFormatting>
  <dataValidations count="1">
    <dataValidation type="list" sqref="H5:H12" xr:uid="{00000000-0002-0000-1200-000000000000}">
      <formula1>"INFO,WARNING,HIGH,CRITICAL"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0"/>
  <sheetViews>
    <sheetView showGridLines="0" workbookViewId="0"/>
  </sheetViews>
  <sheetFormatPr defaultRowHeight="13.8"/>
  <cols>
    <col min="1" max="2" width="18" customWidth="1"/>
    <col min="3" max="4" width="20" customWidth="1"/>
    <col min="5" max="9" width="13" customWidth="1"/>
    <col min="10" max="10" width="18" customWidth="1"/>
    <col min="11" max="11" width="34" customWidth="1"/>
    <col min="12" max="12" width="18" customWidth="1"/>
  </cols>
  <sheetData>
    <row r="1" spans="1:12" ht="31.95" customHeight="1">
      <c r="A1" s="42" t="s">
        <v>1016</v>
      </c>
      <c r="B1" s="42" t="s">
        <v>1016</v>
      </c>
      <c r="C1" s="42" t="s">
        <v>1016</v>
      </c>
      <c r="D1" s="42" t="s">
        <v>1016</v>
      </c>
      <c r="E1" s="42" t="s">
        <v>1016</v>
      </c>
      <c r="F1" s="42" t="s">
        <v>1016</v>
      </c>
      <c r="G1" s="42" t="s">
        <v>1016</v>
      </c>
      <c r="H1" s="42" t="s">
        <v>1016</v>
      </c>
      <c r="I1" s="42" t="s">
        <v>1016</v>
      </c>
      <c r="J1" s="42" t="s">
        <v>1016</v>
      </c>
      <c r="K1" s="42" t="s">
        <v>1016</v>
      </c>
      <c r="L1" s="42" t="s">
        <v>1016</v>
      </c>
    </row>
    <row r="2" spans="1:12" ht="28.05" customHeight="1">
      <c r="A2" s="43" t="s">
        <v>1017</v>
      </c>
      <c r="B2" s="43" t="s">
        <v>1017</v>
      </c>
      <c r="C2" s="43" t="s">
        <v>1017</v>
      </c>
      <c r="D2" s="43" t="s">
        <v>1017</v>
      </c>
      <c r="E2" s="43" t="s">
        <v>1017</v>
      </c>
      <c r="F2" s="43" t="s">
        <v>1017</v>
      </c>
      <c r="G2" s="43" t="s">
        <v>1017</v>
      </c>
      <c r="H2" s="43" t="s">
        <v>1017</v>
      </c>
      <c r="I2" s="43" t="s">
        <v>1017</v>
      </c>
      <c r="J2" s="43" t="s">
        <v>1017</v>
      </c>
      <c r="K2" s="43" t="s">
        <v>1017</v>
      </c>
      <c r="L2" s="43" t="s">
        <v>1017</v>
      </c>
    </row>
    <row r="4" spans="1:12" ht="30" customHeight="1">
      <c r="A4" s="5" t="s">
        <v>1018</v>
      </c>
      <c r="B4" s="5" t="s">
        <v>960</v>
      </c>
      <c r="C4" s="5" t="s">
        <v>577</v>
      </c>
      <c r="D4" s="5" t="s">
        <v>1019</v>
      </c>
      <c r="E4" s="5" t="s">
        <v>1020</v>
      </c>
      <c r="F4" s="5" t="s">
        <v>1021</v>
      </c>
      <c r="G4" s="5" t="s">
        <v>1022</v>
      </c>
      <c r="H4" s="5" t="s">
        <v>1023</v>
      </c>
      <c r="I4" s="5" t="s">
        <v>1024</v>
      </c>
      <c r="J4" s="5" t="s">
        <v>96</v>
      </c>
      <c r="K4" s="5" t="s">
        <v>1025</v>
      </c>
      <c r="L4" s="5" t="s">
        <v>460</v>
      </c>
    </row>
    <row r="5" spans="1:12" ht="24" customHeight="1">
      <c r="A5" s="6" t="s">
        <v>1026</v>
      </c>
      <c r="B5" s="6" t="s">
        <v>970</v>
      </c>
      <c r="C5" s="15">
        <v>46246.253472222219</v>
      </c>
      <c r="D5" s="15">
        <v>46246.253993055558</v>
      </c>
      <c r="E5" s="18">
        <v>12</v>
      </c>
      <c r="F5" s="18">
        <v>1</v>
      </c>
      <c r="G5" s="18">
        <v>1</v>
      </c>
      <c r="H5" s="18">
        <v>1</v>
      </c>
      <c r="I5" s="18">
        <v>0</v>
      </c>
      <c r="J5" s="6" t="s">
        <v>464</v>
      </c>
      <c r="K5" s="24"/>
      <c r="L5" s="6" t="s">
        <v>1027</v>
      </c>
    </row>
    <row r="6" spans="1:12" ht="24" customHeight="1">
      <c r="A6" s="9" t="s">
        <v>1028</v>
      </c>
      <c r="B6" s="9" t="s">
        <v>970</v>
      </c>
      <c r="C6" s="16">
        <v>46246.295138888891</v>
      </c>
      <c r="D6" s="16">
        <v>46246.295659722222</v>
      </c>
      <c r="E6" s="19">
        <v>12</v>
      </c>
      <c r="F6" s="19">
        <v>1</v>
      </c>
      <c r="G6" s="19">
        <v>1</v>
      </c>
      <c r="H6" s="19">
        <v>1</v>
      </c>
      <c r="I6" s="19">
        <v>0</v>
      </c>
      <c r="J6" s="9" t="s">
        <v>464</v>
      </c>
      <c r="K6" s="25"/>
      <c r="L6" s="9" t="s">
        <v>1029</v>
      </c>
    </row>
    <row r="7" spans="1:12" ht="24" customHeight="1">
      <c r="A7" s="9" t="s">
        <v>1030</v>
      </c>
      <c r="B7" s="9" t="s">
        <v>978</v>
      </c>
      <c r="C7" s="16">
        <v>46246.270833333336</v>
      </c>
      <c r="D7" s="16">
        <v>46246.271354166667</v>
      </c>
      <c r="E7" s="19">
        <v>24</v>
      </c>
      <c r="F7" s="19">
        <v>6</v>
      </c>
      <c r="G7" s="19">
        <v>6</v>
      </c>
      <c r="H7" s="19">
        <v>6</v>
      </c>
      <c r="I7" s="19">
        <v>0</v>
      </c>
      <c r="J7" s="9" t="s">
        <v>464</v>
      </c>
      <c r="K7" s="25"/>
      <c r="L7" s="9" t="s">
        <v>1031</v>
      </c>
    </row>
    <row r="8" spans="1:12" ht="24" customHeight="1">
      <c r="A8" s="9" t="s">
        <v>1032</v>
      </c>
      <c r="B8" s="9" t="s">
        <v>978</v>
      </c>
      <c r="C8" s="16">
        <v>46246.3125</v>
      </c>
      <c r="D8" s="16">
        <v>46246.313020833331</v>
      </c>
      <c r="E8" s="19">
        <v>24</v>
      </c>
      <c r="F8" s="19">
        <v>6</v>
      </c>
      <c r="G8" s="19">
        <v>6</v>
      </c>
      <c r="H8" s="19">
        <v>6</v>
      </c>
      <c r="I8" s="19">
        <v>0</v>
      </c>
      <c r="J8" s="9" t="s">
        <v>464</v>
      </c>
      <c r="K8" s="25"/>
      <c r="L8" s="9" t="s">
        <v>1033</v>
      </c>
    </row>
    <row r="9" spans="1:12" ht="24" customHeight="1">
      <c r="A9" s="9" t="s">
        <v>1034</v>
      </c>
      <c r="B9" s="9" t="s">
        <v>985</v>
      </c>
      <c r="C9" s="16">
        <v>46246.270833333336</v>
      </c>
      <c r="D9" s="16">
        <v>46246.271354166667</v>
      </c>
      <c r="E9" s="19">
        <v>15</v>
      </c>
      <c r="F9" s="19">
        <v>6</v>
      </c>
      <c r="G9" s="19">
        <v>6</v>
      </c>
      <c r="H9" s="19">
        <v>6</v>
      </c>
      <c r="I9" s="19">
        <v>0</v>
      </c>
      <c r="J9" s="9" t="s">
        <v>464</v>
      </c>
      <c r="K9" s="25"/>
      <c r="L9" s="9" t="s">
        <v>1035</v>
      </c>
    </row>
    <row r="10" spans="1:12" ht="24" customHeight="1">
      <c r="A10" s="9" t="s">
        <v>1036</v>
      </c>
      <c r="B10" s="9" t="s">
        <v>985</v>
      </c>
      <c r="C10" s="16">
        <v>46246.3125</v>
      </c>
      <c r="D10" s="16">
        <v>46246.313020833331</v>
      </c>
      <c r="E10" s="19">
        <v>15</v>
      </c>
      <c r="F10" s="19">
        <v>6</v>
      </c>
      <c r="G10" s="19">
        <v>6</v>
      </c>
      <c r="H10" s="19">
        <v>6</v>
      </c>
      <c r="I10" s="19">
        <v>0</v>
      </c>
      <c r="J10" s="9" t="s">
        <v>464</v>
      </c>
      <c r="K10" s="25"/>
      <c r="L10" s="9" t="s">
        <v>1037</v>
      </c>
    </row>
    <row r="11" spans="1:12" ht="24" customHeight="1">
      <c r="A11" s="9" t="s">
        <v>1038</v>
      </c>
      <c r="B11" s="9" t="s">
        <v>992</v>
      </c>
      <c r="C11" s="16">
        <v>46246.270833333336</v>
      </c>
      <c r="D11" s="16">
        <v>46246.271354166667</v>
      </c>
      <c r="E11" s="19">
        <v>12</v>
      </c>
      <c r="F11" s="19">
        <v>4</v>
      </c>
      <c r="G11" s="19">
        <v>4</v>
      </c>
      <c r="H11" s="19">
        <v>4</v>
      </c>
      <c r="I11" s="19">
        <v>0</v>
      </c>
      <c r="J11" s="9" t="s">
        <v>464</v>
      </c>
      <c r="K11" s="25"/>
      <c r="L11" s="9" t="s">
        <v>1039</v>
      </c>
    </row>
    <row r="12" spans="1:12" ht="24" customHeight="1">
      <c r="A12" s="9" t="s">
        <v>1040</v>
      </c>
      <c r="B12" s="9" t="s">
        <v>992</v>
      </c>
      <c r="C12" s="16">
        <v>46246.3125</v>
      </c>
      <c r="D12" s="16">
        <v>46246.313020833331</v>
      </c>
      <c r="E12" s="19">
        <v>12</v>
      </c>
      <c r="F12" s="19">
        <v>4</v>
      </c>
      <c r="G12" s="19">
        <v>4</v>
      </c>
      <c r="H12" s="19">
        <v>4</v>
      </c>
      <c r="I12" s="19">
        <v>0</v>
      </c>
      <c r="J12" s="9" t="s">
        <v>464</v>
      </c>
      <c r="K12" s="25"/>
      <c r="L12" s="9" t="s">
        <v>1041</v>
      </c>
    </row>
    <row r="13" spans="1:12" ht="24" customHeight="1">
      <c r="A13" s="9" t="s">
        <v>1042</v>
      </c>
      <c r="B13" s="9" t="s">
        <v>970</v>
      </c>
      <c r="C13" s="16">
        <v>46247.253472222219</v>
      </c>
      <c r="D13" s="16">
        <v>46247.253993055558</v>
      </c>
      <c r="E13" s="19">
        <v>12</v>
      </c>
      <c r="F13" s="19">
        <v>2</v>
      </c>
      <c r="G13" s="19">
        <v>2</v>
      </c>
      <c r="H13" s="19">
        <v>2</v>
      </c>
      <c r="I13" s="19">
        <v>0</v>
      </c>
      <c r="J13" s="9" t="s">
        <v>464</v>
      </c>
      <c r="K13" s="25"/>
      <c r="L13" s="9" t="s">
        <v>1043</v>
      </c>
    </row>
    <row r="14" spans="1:12" ht="24" customHeight="1">
      <c r="A14" s="9" t="s">
        <v>1044</v>
      </c>
      <c r="B14" s="9" t="s">
        <v>970</v>
      </c>
      <c r="C14" s="16">
        <v>46247.295138888891</v>
      </c>
      <c r="D14" s="16">
        <v>46247.295659722222</v>
      </c>
      <c r="E14" s="19">
        <v>12</v>
      </c>
      <c r="F14" s="19">
        <v>2</v>
      </c>
      <c r="G14" s="19">
        <v>2</v>
      </c>
      <c r="H14" s="19">
        <v>2</v>
      </c>
      <c r="I14" s="19">
        <v>0</v>
      </c>
      <c r="J14" s="9" t="s">
        <v>464</v>
      </c>
      <c r="K14" s="25"/>
      <c r="L14" s="9" t="s">
        <v>1045</v>
      </c>
    </row>
    <row r="15" spans="1:12" ht="24" customHeight="1">
      <c r="A15" s="9" t="s">
        <v>1046</v>
      </c>
      <c r="B15" s="9" t="s">
        <v>978</v>
      </c>
      <c r="C15" s="16">
        <v>46247.270833333336</v>
      </c>
      <c r="D15" s="16">
        <v>46247.271354166667</v>
      </c>
      <c r="E15" s="19">
        <v>24</v>
      </c>
      <c r="F15" s="19">
        <v>6</v>
      </c>
      <c r="G15" s="19">
        <v>6</v>
      </c>
      <c r="H15" s="19">
        <v>6</v>
      </c>
      <c r="I15" s="19">
        <v>0</v>
      </c>
      <c r="J15" s="9" t="s">
        <v>464</v>
      </c>
      <c r="K15" s="25"/>
      <c r="L15" s="9" t="s">
        <v>1047</v>
      </c>
    </row>
    <row r="16" spans="1:12" ht="24" customHeight="1">
      <c r="A16" s="9" t="s">
        <v>1048</v>
      </c>
      <c r="B16" s="9" t="s">
        <v>978</v>
      </c>
      <c r="C16" s="16">
        <v>46247.3125</v>
      </c>
      <c r="D16" s="16">
        <v>46247.313020833331</v>
      </c>
      <c r="E16" s="19">
        <v>24</v>
      </c>
      <c r="F16" s="19">
        <v>6</v>
      </c>
      <c r="G16" s="19">
        <v>6</v>
      </c>
      <c r="H16" s="19">
        <v>6</v>
      </c>
      <c r="I16" s="19">
        <v>0</v>
      </c>
      <c r="J16" s="9" t="s">
        <v>464</v>
      </c>
      <c r="K16" s="25"/>
      <c r="L16" s="9" t="s">
        <v>1049</v>
      </c>
    </row>
    <row r="17" spans="1:12" ht="24" customHeight="1">
      <c r="A17" s="9" t="s">
        <v>1050</v>
      </c>
      <c r="B17" s="9" t="s">
        <v>985</v>
      </c>
      <c r="C17" s="16">
        <v>46247.270833333336</v>
      </c>
      <c r="D17" s="16">
        <v>46247.271354166667</v>
      </c>
      <c r="E17" s="19">
        <v>15</v>
      </c>
      <c r="F17" s="19">
        <v>6</v>
      </c>
      <c r="G17" s="19">
        <v>6</v>
      </c>
      <c r="H17" s="19">
        <v>6</v>
      </c>
      <c r="I17" s="19">
        <v>0</v>
      </c>
      <c r="J17" s="9" t="s">
        <v>464</v>
      </c>
      <c r="K17" s="25"/>
      <c r="L17" s="9" t="s">
        <v>1051</v>
      </c>
    </row>
    <row r="18" spans="1:12" ht="24" customHeight="1">
      <c r="A18" s="9" t="s">
        <v>792</v>
      </c>
      <c r="B18" s="9" t="s">
        <v>985</v>
      </c>
      <c r="C18" s="16">
        <v>46247.3125</v>
      </c>
      <c r="D18" s="16">
        <v>46247.313020833331</v>
      </c>
      <c r="E18" s="19">
        <v>15</v>
      </c>
      <c r="F18" s="19">
        <v>6</v>
      </c>
      <c r="G18" s="19">
        <v>6</v>
      </c>
      <c r="H18" s="19">
        <v>5</v>
      </c>
      <c r="I18" s="19">
        <v>1</v>
      </c>
      <c r="J18" s="9" t="s">
        <v>1052</v>
      </c>
      <c r="K18" s="25" t="s">
        <v>1053</v>
      </c>
      <c r="L18" s="9" t="s">
        <v>1054</v>
      </c>
    </row>
    <row r="19" spans="1:12" ht="24" customHeight="1">
      <c r="A19" s="9" t="s">
        <v>1055</v>
      </c>
      <c r="B19" s="9" t="s">
        <v>992</v>
      </c>
      <c r="C19" s="16">
        <v>46247.270833333336</v>
      </c>
      <c r="D19" s="16">
        <v>46247.271354166667</v>
      </c>
      <c r="E19" s="19">
        <v>12</v>
      </c>
      <c r="F19" s="19">
        <v>4</v>
      </c>
      <c r="G19" s="19">
        <v>4</v>
      </c>
      <c r="H19" s="19">
        <v>4</v>
      </c>
      <c r="I19" s="19">
        <v>0</v>
      </c>
      <c r="J19" s="9" t="s">
        <v>464</v>
      </c>
      <c r="K19" s="25"/>
      <c r="L19" s="9" t="s">
        <v>1056</v>
      </c>
    </row>
    <row r="20" spans="1:12" ht="24" customHeight="1">
      <c r="A20" s="12" t="s">
        <v>1057</v>
      </c>
      <c r="B20" s="12" t="s">
        <v>992</v>
      </c>
      <c r="C20" s="17">
        <v>46247.3125</v>
      </c>
      <c r="D20" s="17">
        <v>46247.313020833331</v>
      </c>
      <c r="E20" s="20">
        <v>12</v>
      </c>
      <c r="F20" s="20">
        <v>4</v>
      </c>
      <c r="G20" s="20">
        <v>4</v>
      </c>
      <c r="H20" s="20">
        <v>4</v>
      </c>
      <c r="I20" s="20">
        <v>0</v>
      </c>
      <c r="J20" s="12" t="s">
        <v>464</v>
      </c>
      <c r="K20" s="26"/>
      <c r="L20" s="12" t="s">
        <v>1058</v>
      </c>
    </row>
  </sheetData>
  <mergeCells count="2">
    <mergeCell ref="A1:L1"/>
    <mergeCell ref="A2:L2"/>
  </mergeCells>
  <conditionalFormatting sqref="J5:J20">
    <cfRule type="containsText" dxfId="11" priority="1" operator="containsText" text="CRITICAL"/>
    <cfRule type="containsText" dxfId="10" priority="8" operator="containsText" text="HIGH"/>
    <cfRule type="containsText" dxfId="9" priority="17" operator="containsText" text="ACTIVE"/>
    <cfRule type="containsText" dxfId="8" priority="28" operator="containsText" text="INFO"/>
  </conditionalFormatting>
  <dataValidations count="1">
    <dataValidation type="list" sqref="J5:J20" xr:uid="{00000000-0002-0000-1300-000000000000}">
      <formula1>"SUCCESS,PARTIAL_FAILURE,FAILED"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6"/>
  <sheetViews>
    <sheetView showGridLines="0" workbookViewId="0"/>
  </sheetViews>
  <sheetFormatPr defaultRowHeight="13.8"/>
  <cols>
    <col min="1" max="6" width="18" customWidth="1"/>
    <col min="7" max="7" width="28" customWidth="1"/>
    <col min="8" max="8" width="20" customWidth="1"/>
    <col min="9" max="9" width="13" customWidth="1"/>
    <col min="10" max="13" width="18" customWidth="1"/>
  </cols>
  <sheetData>
    <row r="1" spans="1:13" ht="31.95" customHeight="1">
      <c r="A1" s="42" t="s">
        <v>1059</v>
      </c>
      <c r="B1" s="42" t="s">
        <v>1059</v>
      </c>
      <c r="C1" s="42" t="s">
        <v>1059</v>
      </c>
      <c r="D1" s="42" t="s">
        <v>1059</v>
      </c>
      <c r="E1" s="42" t="s">
        <v>1059</v>
      </c>
      <c r="F1" s="42" t="s">
        <v>1059</v>
      </c>
      <c r="G1" s="42" t="s">
        <v>1059</v>
      </c>
      <c r="H1" s="42" t="s">
        <v>1059</v>
      </c>
      <c r="I1" s="42" t="s">
        <v>1059</v>
      </c>
      <c r="J1" s="42" t="s">
        <v>1059</v>
      </c>
      <c r="K1" s="42" t="s">
        <v>1059</v>
      </c>
      <c r="L1" s="42" t="s">
        <v>1059</v>
      </c>
      <c r="M1" s="42" t="s">
        <v>1059</v>
      </c>
    </row>
    <row r="2" spans="1:13" ht="28.05" customHeight="1">
      <c r="A2" s="43" t="s">
        <v>1060</v>
      </c>
      <c r="B2" s="43" t="s">
        <v>1060</v>
      </c>
      <c r="C2" s="43" t="s">
        <v>1060</v>
      </c>
      <c r="D2" s="43" t="s">
        <v>1060</v>
      </c>
      <c r="E2" s="43" t="s">
        <v>1060</v>
      </c>
      <c r="F2" s="43" t="s">
        <v>1060</v>
      </c>
      <c r="G2" s="43" t="s">
        <v>1060</v>
      </c>
      <c r="H2" s="43" t="s">
        <v>1060</v>
      </c>
      <c r="I2" s="43" t="s">
        <v>1060</v>
      </c>
      <c r="J2" s="43" t="s">
        <v>1060</v>
      </c>
      <c r="K2" s="43" t="s">
        <v>1060</v>
      </c>
      <c r="L2" s="43" t="s">
        <v>1060</v>
      </c>
      <c r="M2" s="43" t="s">
        <v>1060</v>
      </c>
    </row>
    <row r="4" spans="1:13" ht="30" customHeight="1">
      <c r="A4" s="5" t="s">
        <v>1061</v>
      </c>
      <c r="B4" s="5" t="s">
        <v>1018</v>
      </c>
      <c r="C4" s="5" t="s">
        <v>960</v>
      </c>
      <c r="D4" s="5" t="s">
        <v>634</v>
      </c>
      <c r="E4" s="5" t="s">
        <v>668</v>
      </c>
      <c r="F4" s="5" t="s">
        <v>1062</v>
      </c>
      <c r="G4" s="5" t="s">
        <v>1063</v>
      </c>
      <c r="H4" s="5" t="s">
        <v>1064</v>
      </c>
      <c r="I4" s="5" t="s">
        <v>1065</v>
      </c>
      <c r="J4" s="5" t="s">
        <v>459</v>
      </c>
      <c r="K4" s="5" t="s">
        <v>534</v>
      </c>
      <c r="L4" s="5" t="s">
        <v>638</v>
      </c>
      <c r="M4" s="5" t="s">
        <v>1025</v>
      </c>
    </row>
    <row r="5" spans="1:13" ht="24" customHeight="1">
      <c r="A5" s="6" t="s">
        <v>1066</v>
      </c>
      <c r="B5" s="6" t="s">
        <v>1026</v>
      </c>
      <c r="C5" s="6" t="s">
        <v>970</v>
      </c>
      <c r="D5" s="6" t="s">
        <v>537</v>
      </c>
      <c r="E5" s="6" t="s">
        <v>538</v>
      </c>
      <c r="F5" s="6" t="s">
        <v>1067</v>
      </c>
      <c r="G5" s="6" t="s">
        <v>1068</v>
      </c>
      <c r="H5" s="15">
        <v>46247.368055555555</v>
      </c>
      <c r="I5" s="18">
        <v>200</v>
      </c>
      <c r="J5" s="6" t="s">
        <v>464</v>
      </c>
      <c r="K5" s="6" t="s">
        <v>682</v>
      </c>
      <c r="L5" s="6" t="s">
        <v>644</v>
      </c>
      <c r="M5" s="6"/>
    </row>
    <row r="6" spans="1:13" ht="24" customHeight="1">
      <c r="A6" s="9" t="s">
        <v>1069</v>
      </c>
      <c r="B6" s="9" t="s">
        <v>1028</v>
      </c>
      <c r="C6" s="9" t="s">
        <v>970</v>
      </c>
      <c r="D6" s="9" t="s">
        <v>537</v>
      </c>
      <c r="E6" s="9" t="s">
        <v>686</v>
      </c>
      <c r="F6" s="9" t="s">
        <v>1067</v>
      </c>
      <c r="G6" s="9" t="s">
        <v>1070</v>
      </c>
      <c r="H6" s="16">
        <v>46247.365972222222</v>
      </c>
      <c r="I6" s="19">
        <v>200</v>
      </c>
      <c r="J6" s="9" t="s">
        <v>464</v>
      </c>
      <c r="K6" s="9" t="s">
        <v>690</v>
      </c>
      <c r="L6" s="9" t="s">
        <v>648</v>
      </c>
      <c r="M6" s="9"/>
    </row>
    <row r="7" spans="1:13" ht="24" customHeight="1">
      <c r="A7" s="9" t="s">
        <v>1071</v>
      </c>
      <c r="B7" s="9" t="s">
        <v>1030</v>
      </c>
      <c r="C7" s="9" t="s">
        <v>978</v>
      </c>
      <c r="D7" s="9" t="s">
        <v>693</v>
      </c>
      <c r="E7" s="9" t="s">
        <v>694</v>
      </c>
      <c r="F7" s="9" t="s">
        <v>886</v>
      </c>
      <c r="G7" s="9" t="s">
        <v>982</v>
      </c>
      <c r="H7" s="16">
        <v>46247.363888888889</v>
      </c>
      <c r="I7" s="19">
        <v>200</v>
      </c>
      <c r="J7" s="9" t="s">
        <v>464</v>
      </c>
      <c r="K7" s="9" t="s">
        <v>698</v>
      </c>
      <c r="L7" s="9" t="s">
        <v>653</v>
      </c>
      <c r="M7" s="9"/>
    </row>
    <row r="8" spans="1:13" ht="24" customHeight="1">
      <c r="A8" s="9" t="s">
        <v>1072</v>
      </c>
      <c r="B8" s="9" t="s">
        <v>1032</v>
      </c>
      <c r="C8" s="9" t="s">
        <v>978</v>
      </c>
      <c r="D8" s="9" t="s">
        <v>693</v>
      </c>
      <c r="E8" s="9" t="s">
        <v>701</v>
      </c>
      <c r="F8" s="9" t="s">
        <v>886</v>
      </c>
      <c r="G8" s="9" t="s">
        <v>982</v>
      </c>
      <c r="H8" s="16">
        <v>46247.361805555556</v>
      </c>
      <c r="I8" s="19">
        <v>200</v>
      </c>
      <c r="J8" s="9" t="s">
        <v>464</v>
      </c>
      <c r="K8" s="9" t="s">
        <v>705</v>
      </c>
      <c r="L8" s="9" t="s">
        <v>658</v>
      </c>
      <c r="M8" s="9"/>
    </row>
    <row r="9" spans="1:13" ht="24" customHeight="1">
      <c r="A9" s="9" t="s">
        <v>1073</v>
      </c>
      <c r="B9" s="9" t="s">
        <v>1034</v>
      </c>
      <c r="C9" s="9" t="s">
        <v>985</v>
      </c>
      <c r="D9" s="9" t="s">
        <v>642</v>
      </c>
      <c r="E9" s="9" t="s">
        <v>708</v>
      </c>
      <c r="F9" s="9" t="s">
        <v>886</v>
      </c>
      <c r="G9" s="9" t="s">
        <v>982</v>
      </c>
      <c r="H9" s="16">
        <v>46247.359722222223</v>
      </c>
      <c r="I9" s="19">
        <v>200</v>
      </c>
      <c r="J9" s="9" t="s">
        <v>464</v>
      </c>
      <c r="K9" s="9" t="s">
        <v>712</v>
      </c>
      <c r="L9" s="9" t="s">
        <v>663</v>
      </c>
      <c r="M9" s="9"/>
    </row>
    <row r="10" spans="1:13" ht="24" customHeight="1">
      <c r="A10" s="9" t="s">
        <v>1074</v>
      </c>
      <c r="B10" s="9" t="s">
        <v>1036</v>
      </c>
      <c r="C10" s="9" t="s">
        <v>985</v>
      </c>
      <c r="D10" s="9" t="s">
        <v>642</v>
      </c>
      <c r="E10" s="9" t="s">
        <v>715</v>
      </c>
      <c r="F10" s="9" t="s">
        <v>886</v>
      </c>
      <c r="G10" s="9" t="s">
        <v>982</v>
      </c>
      <c r="H10" s="16">
        <v>46247.357638888891</v>
      </c>
      <c r="I10" s="19">
        <v>200</v>
      </c>
      <c r="J10" s="9" t="s">
        <v>464</v>
      </c>
      <c r="K10" s="9" t="s">
        <v>718</v>
      </c>
      <c r="L10" s="9" t="s">
        <v>841</v>
      </c>
      <c r="M10" s="9"/>
    </row>
    <row r="11" spans="1:13" ht="24" customHeight="1">
      <c r="A11" s="9" t="s">
        <v>1075</v>
      </c>
      <c r="B11" s="9" t="s">
        <v>1038</v>
      </c>
      <c r="C11" s="9" t="s">
        <v>992</v>
      </c>
      <c r="D11" s="9" t="s">
        <v>721</v>
      </c>
      <c r="E11" s="9" t="s">
        <v>722</v>
      </c>
      <c r="F11" s="9" t="s">
        <v>886</v>
      </c>
      <c r="G11" s="9" t="s">
        <v>982</v>
      </c>
      <c r="H11" s="16">
        <v>46247.313888888886</v>
      </c>
      <c r="I11" s="19">
        <v>200</v>
      </c>
      <c r="J11" s="9" t="s">
        <v>464</v>
      </c>
      <c r="K11" s="9" t="s">
        <v>725</v>
      </c>
      <c r="L11" s="9" t="s">
        <v>845</v>
      </c>
      <c r="M11" s="9"/>
    </row>
    <row r="12" spans="1:13" ht="24" customHeight="1">
      <c r="A12" s="9" t="s">
        <v>1076</v>
      </c>
      <c r="B12" s="9" t="s">
        <v>1040</v>
      </c>
      <c r="C12" s="9" t="s">
        <v>992</v>
      </c>
      <c r="D12" s="9" t="s">
        <v>728</v>
      </c>
      <c r="E12" s="9" t="s">
        <v>729</v>
      </c>
      <c r="F12" s="9" t="s">
        <v>886</v>
      </c>
      <c r="G12" s="9" t="s">
        <v>982</v>
      </c>
      <c r="H12" s="16">
        <v>46247.311805555553</v>
      </c>
      <c r="I12" s="19">
        <v>200</v>
      </c>
      <c r="J12" s="9" t="s">
        <v>464</v>
      </c>
      <c r="K12" s="9" t="s">
        <v>732</v>
      </c>
      <c r="L12" s="9" t="s">
        <v>852</v>
      </c>
      <c r="M12" s="9"/>
    </row>
    <row r="13" spans="1:13" ht="24" customHeight="1">
      <c r="A13" s="9" t="s">
        <v>1077</v>
      </c>
      <c r="B13" s="9" t="s">
        <v>1042</v>
      </c>
      <c r="C13" s="9" t="s">
        <v>970</v>
      </c>
      <c r="D13" s="9" t="s">
        <v>736</v>
      </c>
      <c r="E13" s="9" t="s">
        <v>737</v>
      </c>
      <c r="F13" s="9" t="s">
        <v>886</v>
      </c>
      <c r="G13" s="9" t="s">
        <v>982</v>
      </c>
      <c r="H13" s="16">
        <v>46247.30972222222</v>
      </c>
      <c r="I13" s="19">
        <v>503</v>
      </c>
      <c r="J13" s="9" t="s">
        <v>557</v>
      </c>
      <c r="K13" s="9" t="s">
        <v>741</v>
      </c>
      <c r="L13" s="9" t="s">
        <v>859</v>
      </c>
      <c r="M13" s="9" t="s">
        <v>1078</v>
      </c>
    </row>
    <row r="14" spans="1:13" ht="24" customHeight="1">
      <c r="A14" s="9" t="s">
        <v>1079</v>
      </c>
      <c r="B14" s="9" t="s">
        <v>1044</v>
      </c>
      <c r="C14" s="9" t="s">
        <v>970</v>
      </c>
      <c r="D14" s="9" t="s">
        <v>745</v>
      </c>
      <c r="E14" s="9" t="s">
        <v>746</v>
      </c>
      <c r="F14" s="9" t="s">
        <v>886</v>
      </c>
      <c r="G14" s="9" t="s">
        <v>982</v>
      </c>
      <c r="H14" s="16">
        <v>46247.307638888888</v>
      </c>
      <c r="I14" s="19">
        <v>200</v>
      </c>
      <c r="J14" s="9" t="s">
        <v>464</v>
      </c>
      <c r="K14" s="9" t="s">
        <v>750</v>
      </c>
      <c r="L14" s="9" t="s">
        <v>864</v>
      </c>
      <c r="M14" s="9"/>
    </row>
    <row r="15" spans="1:13" ht="24" customHeight="1">
      <c r="A15" s="9" t="s">
        <v>1080</v>
      </c>
      <c r="B15" s="9" t="s">
        <v>1046</v>
      </c>
      <c r="C15" s="9" t="s">
        <v>978</v>
      </c>
      <c r="D15" s="9" t="s">
        <v>754</v>
      </c>
      <c r="E15" s="9" t="s">
        <v>755</v>
      </c>
      <c r="F15" s="9" t="s">
        <v>886</v>
      </c>
      <c r="G15" s="9" t="s">
        <v>982</v>
      </c>
      <c r="H15" s="16">
        <v>46247.305555555555</v>
      </c>
      <c r="I15" s="19">
        <v>200</v>
      </c>
      <c r="J15" s="9" t="s">
        <v>464</v>
      </c>
      <c r="K15" s="9" t="s">
        <v>759</v>
      </c>
      <c r="L15" s="9" t="s">
        <v>869</v>
      </c>
      <c r="M15" s="9"/>
    </row>
    <row r="16" spans="1:13" ht="24" customHeight="1">
      <c r="A16" s="12" t="s">
        <v>1081</v>
      </c>
      <c r="B16" s="12" t="s">
        <v>1048</v>
      </c>
      <c r="C16" s="12" t="s">
        <v>978</v>
      </c>
      <c r="D16" s="12" t="s">
        <v>763</v>
      </c>
      <c r="E16" s="12" t="s">
        <v>764</v>
      </c>
      <c r="F16" s="12" t="s">
        <v>886</v>
      </c>
      <c r="G16" s="12" t="s">
        <v>982</v>
      </c>
      <c r="H16" s="17">
        <v>46247.303472222222</v>
      </c>
      <c r="I16" s="20">
        <v>200</v>
      </c>
      <c r="J16" s="12" t="s">
        <v>464</v>
      </c>
      <c r="K16" s="12" t="s">
        <v>768</v>
      </c>
      <c r="L16" s="12" t="s">
        <v>874</v>
      </c>
      <c r="M16" s="12"/>
    </row>
  </sheetData>
  <mergeCells count="2">
    <mergeCell ref="A1:M1"/>
    <mergeCell ref="A2:M2"/>
  </mergeCells>
  <conditionalFormatting sqref="I5:I16">
    <cfRule type="containsText" dxfId="7" priority="1" operator="containsText" text="CRITICAL"/>
    <cfRule type="containsText" dxfId="6" priority="28" operator="containsText" text="INFO"/>
    <cfRule type="containsText" dxfId="5" priority="8" operator="containsText" text="HIGH"/>
    <cfRule type="containsText" dxfId="4" priority="17" operator="containsText" text="ACTIVE"/>
  </conditionalFormatting>
  <conditionalFormatting sqref="J5:J16">
    <cfRule type="containsText" dxfId="3" priority="34" operator="containsText" text="CRITICAL"/>
    <cfRule type="containsText" dxfId="2" priority="41" operator="containsText" text="HIGH"/>
    <cfRule type="containsText" dxfId="1" priority="50" operator="containsText" text="ACTIVE"/>
    <cfRule type="containsText" dxfId="0" priority="61" operator="containsText" text="INFO"/>
  </conditionalFormatting>
  <dataValidations count="1">
    <dataValidation type="list" sqref="J5:J16" xr:uid="{00000000-0002-0000-1400-000000000000}">
      <formula1>"SUCCESS,RETRY_SCHEDULED,FAILED,DENIED"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Summary</vt:lpstr>
      <vt:lpstr>IoT_Sensors</vt:lpstr>
      <vt:lpstr>Sensor_Readings</vt:lpstr>
      <vt:lpstr>Cameras</vt:lpstr>
      <vt:lpstr>AI_Models</vt:lpstr>
      <vt:lpstr>AI_Events</vt:lpstr>
      <vt:lpstr>Wearable_Devices</vt:lpstr>
      <vt:lpstr>Wearable_Events</vt:lpstr>
      <vt:lpstr>Integrations</vt:lpstr>
      <vt:lpstr>API_Logs</vt:lpstr>
      <vt:lpstr>Integration_Outbox</vt:lpstr>
      <vt:lpstr>QA_Sessions</vt:lpstr>
      <vt:lpstr>QA_Messages</vt:lpstr>
      <vt:lpstr>QA_Tool_Calls</vt:lpstr>
      <vt:lpstr>Notifications</vt:lpstr>
      <vt:lpstr>Audit_Log</vt:lpstr>
      <vt:lpstr>Security_Events</vt:lpstr>
      <vt:lpstr>Automation_Rules</vt:lpstr>
      <vt:lpstr>Automation_Runs</vt:lpstr>
      <vt:lpstr>Automation_Actions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Nabil</dc:creator>
  <cp:lastModifiedBy>Ahmed Mostafa</cp:lastModifiedBy>
  <dcterms:created xsi:type="dcterms:W3CDTF">2026-08-13T12:24:45Z</dcterms:created>
  <dcterms:modified xsi:type="dcterms:W3CDTF">2026-08-13T12:24:45Z</dcterms:modified>
</cp:coreProperties>
</file>